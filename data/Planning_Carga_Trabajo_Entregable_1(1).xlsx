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60" activeTab="5"/>
  </bookViews>
  <sheets>
    <sheet name="Portada" sheetId="1" r:id="rId1"/>
    <sheet name="Parametros" sheetId="2" r:id="rId2"/>
    <sheet name="Personal" sheetId="3" r:id="rId3"/>
    <sheet name="Temparios" sheetId="4" r:id="rId4"/>
    <sheet name="Vehiculos" sheetId="5" r:id="rId5"/>
    <sheet name="Ordenes_Trabajo" sheetId="6" r:id="rId6"/>
    <sheet name="Resumen_Base" sheetId="7" r:id="rId7"/>
    <sheet name="Diccionari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<sst xmlns="http://schemas.openxmlformats.org/spreadsheetml/2006/main" count="3528" uniqueCount="667">
  <si>
    <t>BASE DE DATOS – PLANNING DE CARGA DE TRABAJO</t>
  </si>
  <si>
    <t>Taller</t>
  </si>
  <si>
    <t>Doctor Fierros</t>
  </si>
  <si>
    <t>Período</t>
  </si>
  <si>
    <t>13 al 27 de julio de 2026</t>
  </si>
  <si>
    <t>Órdenes de trabajo</t>
  </si>
  <si>
    <t>En desarrollo</t>
  </si>
  <si>
    <t>Planificadas</t>
  </si>
  <si>
    <t>Proyectadas</t>
  </si>
  <si>
    <t>Previstas</t>
  </si>
  <si>
    <t>Paradas</t>
  </si>
  <si>
    <t>Reserva de capacidad</t>
  </si>
  <si>
    <t>9 vehículos</t>
  </si>
  <si>
    <t>Fuente de tiempos</t>
  </si>
  <si>
    <t>TABLAS DE TEMPARIOS DE MANTENIMIENTO 202650</t>
  </si>
  <si>
    <t>PARÁMETRO</t>
  </si>
  <si>
    <t>VALOR</t>
  </si>
  <si>
    <t>UNIDAD</t>
  </si>
  <si>
    <t>Horario de atención</t>
  </si>
  <si>
    <t>08:00 - 17:30</t>
  </si>
  <si>
    <t/>
  </si>
  <si>
    <t>Almuerzo</t>
  </si>
  <si>
    <t>13:00 - 14:00</t>
  </si>
  <si>
    <t>Retroalimentación diaria</t>
  </si>
  <si>
    <t>h/día</t>
  </si>
  <si>
    <t>Limpieza de bahía</t>
  </si>
  <si>
    <t>h/servicio</t>
  </si>
  <si>
    <t>Break</t>
  </si>
  <si>
    <t>h/jornada</t>
  </si>
  <si>
    <t>Recepción vehículo</t>
  </si>
  <si>
    <t>h</t>
  </si>
  <si>
    <t>Lavado</t>
  </si>
  <si>
    <t>Prueba de ruta</t>
  </si>
  <si>
    <t>Control de calidad</t>
  </si>
  <si>
    <t>Entrega por asesor</t>
  </si>
  <si>
    <t>Tiempo efectivo por técnico</t>
  </si>
  <si>
    <t>Eficiencia operario</t>
  </si>
  <si>
    <t>%</t>
  </si>
  <si>
    <t>Costo hora técnico</t>
  </si>
  <si>
    <t>USD/h</t>
  </si>
  <si>
    <t>Costo hora asesor</t>
  </si>
  <si>
    <t>Costo hora lavado</t>
  </si>
  <si>
    <t>Costo hora control calidad</t>
  </si>
  <si>
    <t>Máximo horas extra técnico</t>
  </si>
  <si>
    <t>Máximo horas extra asesor</t>
  </si>
  <si>
    <t>Código</t>
  </si>
  <si>
    <t>Nombre</t>
  </si>
  <si>
    <t>Cargo</t>
  </si>
  <si>
    <t>Capacidad diaria (h)</t>
  </si>
  <si>
    <t>Costo hora (USD)</t>
  </si>
  <si>
    <t>TM1</t>
  </si>
  <si>
    <t>Marie Dubois</t>
  </si>
  <si>
    <t>Técnico mecánico</t>
  </si>
  <si>
    <t>TM2</t>
  </si>
  <si>
    <t>Anne Peeters</t>
  </si>
  <si>
    <t>TM3</t>
  </si>
  <si>
    <t>Sophie Janssens</t>
  </si>
  <si>
    <t>TM4</t>
  </si>
  <si>
    <t>Jan Peeters</t>
  </si>
  <si>
    <t>TM5</t>
  </si>
  <si>
    <t>Pierre Dubois</t>
  </si>
  <si>
    <t>TM6</t>
  </si>
  <si>
    <t>Willem Janssens</t>
  </si>
  <si>
    <t>AST1</t>
  </si>
  <si>
    <t>Marco Rossi</t>
  </si>
  <si>
    <t>Asesor de servicio</t>
  </si>
  <si>
    <t>AST2</t>
  </si>
  <si>
    <t>Giulia Bianchi</t>
  </si>
  <si>
    <t>CC1</t>
  </si>
  <si>
    <t>Juan Pérez</t>
  </si>
  <si>
    <t>LV1</t>
  </si>
  <si>
    <t>Melaney Darrsson</t>
  </si>
  <si>
    <t>Lavador</t>
  </si>
  <si>
    <t>Kilometraje</t>
  </si>
  <si>
    <t>Tipo de mantenimiento</t>
  </si>
  <si>
    <t>I10</t>
  </si>
  <si>
    <t>ACCENT</t>
  </si>
  <si>
    <t>ELANTRA</t>
  </si>
  <si>
    <t>GETZ</t>
  </si>
  <si>
    <t>GETZ 1.5 D</t>
  </si>
  <si>
    <t>i30</t>
  </si>
  <si>
    <t>MATRIX</t>
  </si>
  <si>
    <t>SANTA FE 2.4 MT</t>
  </si>
  <si>
    <t>SANTA FE 2.4 AT</t>
  </si>
  <si>
    <t>SANTA FE CM 2.7 V6 MT</t>
  </si>
  <si>
    <t>SANTA FE CM 2.7 V6 AT</t>
  </si>
  <si>
    <t>SANTA FE CM 2.2 D MT</t>
  </si>
  <si>
    <t>SANTA FE CM 2.2 D AT</t>
  </si>
  <si>
    <t>SANTA FE CM 2.4 MT</t>
  </si>
  <si>
    <t>SANTA FE CM 2.4 AT</t>
  </si>
  <si>
    <t>TUCSON 2.0 MT</t>
  </si>
  <si>
    <t>TUCSON 2.0 AT</t>
  </si>
  <si>
    <t>TUCSON 2.0 D4EA</t>
  </si>
  <si>
    <t>TUCSON ix35 2.0 MT</t>
  </si>
  <si>
    <t>TUCSON ix35 2.0 AT</t>
  </si>
  <si>
    <t>TERRACAN 2.5 D MT</t>
  </si>
  <si>
    <t>TERRACAN 2.9 D MT</t>
  </si>
  <si>
    <t>TERRACAN 2.9 D AT</t>
  </si>
  <si>
    <t>TERRACAN 3.5 AT</t>
  </si>
  <si>
    <t>VERACRUZ 3.8 V6 G</t>
  </si>
  <si>
    <t>VERACRUZ 3.0 V6 CRDI</t>
  </si>
  <si>
    <t>H-100</t>
  </si>
  <si>
    <t>TQ</t>
  </si>
  <si>
    <t>Mantenimiento preventivo 1.500 km</t>
  </si>
  <si>
    <t>Mantenimiento preventivo 5.000 km</t>
  </si>
  <si>
    <t>Mantenimiento preventivo 10.000 km</t>
  </si>
  <si>
    <t>Mantenimiento preventivo 15.000 km</t>
  </si>
  <si>
    <t>Mantenimiento preventivo 20.000 km</t>
  </si>
  <si>
    <t>Mantenimiento preventivo 25.000 km</t>
  </si>
  <si>
    <t>Mantenimiento preventivo 30.000 km</t>
  </si>
  <si>
    <t>Mantenimiento preventivo 35.000 km</t>
  </si>
  <si>
    <t>Mantenimiento preventivo 40.000 km</t>
  </si>
  <si>
    <t>Mantenimiento preventivo 45.000 km</t>
  </si>
  <si>
    <t>Mantenimiento preventivo 50.000 km</t>
  </si>
  <si>
    <t>Mantenimiento preventivo 55.000 km</t>
  </si>
  <si>
    <t>Mantenimiento preventivo 60.000 km</t>
  </si>
  <si>
    <t>Mantenimiento preventivo 65.000 km</t>
  </si>
  <si>
    <t>Mantenimiento preventivo 70.000 km</t>
  </si>
  <si>
    <t>Mantenimiento preventivo 75.000 km</t>
  </si>
  <si>
    <t>Mantenimiento preventivo 80.000 km</t>
  </si>
  <si>
    <t>Mantenimiento preventivo 85.000 km</t>
  </si>
  <si>
    <t>Mantenimiento preventivo 90.000 km</t>
  </si>
  <si>
    <t>Mantenimiento preventivo 95.000 km</t>
  </si>
  <si>
    <t>Mantenimiento preventivo 1.000.000 km</t>
  </si>
  <si>
    <t>Modelo</t>
  </si>
  <si>
    <t>Tipo de vehículo</t>
  </si>
  <si>
    <t>Marca</t>
  </si>
  <si>
    <t>Automóvil</t>
  </si>
  <si>
    <t>Hyundai</t>
  </si>
  <si>
    <t>Monovolumen</t>
  </si>
  <si>
    <t>SUV</t>
  </si>
  <si>
    <t>Camioneta</t>
  </si>
  <si>
    <t>OT</t>
  </si>
  <si>
    <t>Fecha programación</t>
  </si>
  <si>
    <t>Semana</t>
  </si>
  <si>
    <t>Cliente</t>
  </si>
  <si>
    <t>Placa</t>
  </si>
  <si>
    <t>Tipo vehículo</t>
  </si>
  <si>
    <t>Tipo mantenimiento</t>
  </si>
  <si>
    <t>Tempario (h)</t>
  </si>
  <si>
    <t>Eficiencia</t>
  </si>
  <si>
    <t>Horas requeridas</t>
  </si>
  <si>
    <t>Cód. técnico</t>
  </si>
  <si>
    <t>Técnico</t>
  </si>
  <si>
    <t>Cód. asesor</t>
  </si>
  <si>
    <t>Asesor</t>
  </si>
  <si>
    <t>Bahía</t>
  </si>
  <si>
    <t>Inicio</t>
  </si>
  <si>
    <t>Fin estimado</t>
  </si>
  <si>
    <t>Entrega estimada</t>
  </si>
  <si>
    <t>Estado</t>
  </si>
  <si>
    <t>Horas normales</t>
  </si>
  <si>
    <t>Horas extra</t>
  </si>
  <si>
    <t>Costo técnico</t>
  </si>
  <si>
    <t>Costo asesor</t>
  </si>
  <si>
    <t>Costo lavado</t>
  </si>
  <si>
    <t>Costo control calidad</t>
  </si>
  <si>
    <t>Costo total</t>
  </si>
  <si>
    <t>Precio estimado</t>
  </si>
  <si>
    <t>Ganancia estimada</t>
  </si>
  <si>
    <t>Observación</t>
  </si>
  <si>
    <t>OT-2026001</t>
  </si>
  <si>
    <t>Jorge Molina</t>
  </si>
  <si>
    <t>PAA-1000</t>
  </si>
  <si>
    <t>B1</t>
  </si>
  <si>
    <t>Planificada</t>
  </si>
  <si>
    <t>OT-2026002</t>
  </si>
  <si>
    <t>Valeria Castro</t>
  </si>
  <si>
    <t>PBA-1001</t>
  </si>
  <si>
    <t>B2</t>
  </si>
  <si>
    <t>Proyectada</t>
  </si>
  <si>
    <t>OT-2026003</t>
  </si>
  <si>
    <t>Fernando Ortiz</t>
  </si>
  <si>
    <t>PCA-1002</t>
  </si>
  <si>
    <t>B3</t>
  </si>
  <si>
    <t>OT-2026004</t>
  </si>
  <si>
    <t>Andrea Paredes</t>
  </si>
  <si>
    <t>PDA-1003</t>
  </si>
  <si>
    <t>B4</t>
  </si>
  <si>
    <t>OT-2026005</t>
  </si>
  <si>
    <t>PEA-1004</t>
  </si>
  <si>
    <t>B5</t>
  </si>
  <si>
    <t>OT-2026006</t>
  </si>
  <si>
    <t>PFA-1005</t>
  </si>
  <si>
    <t>B6</t>
  </si>
  <si>
    <t>OT-2026007</t>
  </si>
  <si>
    <t>PGA-1006</t>
  </si>
  <si>
    <t>OT-2026008</t>
  </si>
  <si>
    <t>Miguel Cevallos</t>
  </si>
  <si>
    <t>PHA-1007</t>
  </si>
  <si>
    <t>OT-2026009</t>
  </si>
  <si>
    <t>Ana Torres</t>
  </si>
  <si>
    <t>PIA-1008</t>
  </si>
  <si>
    <t>OT-2026010</t>
  </si>
  <si>
    <t>Diego Almeida</t>
  </si>
  <si>
    <t>PJA-1009</t>
  </si>
  <si>
    <t>OT-2026011</t>
  </si>
  <si>
    <t>PKA-1010</t>
  </si>
  <si>
    <t>OT-2026012</t>
  </si>
  <si>
    <t>José Sánchez</t>
  </si>
  <si>
    <t>PLA-1011</t>
  </si>
  <si>
    <t>Prevista</t>
  </si>
  <si>
    <t>OT-2026013</t>
  </si>
  <si>
    <t>PMA-1012</t>
  </si>
  <si>
    <t>OT-2026014</t>
  </si>
  <si>
    <t>PNA-1013</t>
  </si>
  <si>
    <t>OT-2026015</t>
  </si>
  <si>
    <t>María López</t>
  </si>
  <si>
    <t>POA-1014</t>
  </si>
  <si>
    <t>OT-2026016</t>
  </si>
  <si>
    <t>PPA-1015</t>
  </si>
  <si>
    <t>OT-2026017</t>
  </si>
  <si>
    <t>Camila Silva</t>
  </si>
  <si>
    <t>PQA-1016</t>
  </si>
  <si>
    <t>OT-2026018</t>
  </si>
  <si>
    <t>PRA-1017</t>
  </si>
  <si>
    <t>OT-2026019</t>
  </si>
  <si>
    <t>PSA-1018</t>
  </si>
  <si>
    <t>OT-2026020</t>
  </si>
  <si>
    <t>PTA-1019</t>
  </si>
  <si>
    <t>OT-2026021</t>
  </si>
  <si>
    <t>Daniela Vega</t>
  </si>
  <si>
    <t>PUA-1020</t>
  </si>
  <si>
    <t>OT-2026022</t>
  </si>
  <si>
    <t>Sofía Rojas</t>
  </si>
  <si>
    <t>PVA-1021</t>
  </si>
  <si>
    <t>OT-2026023</t>
  </si>
  <si>
    <t>Luis Herrera</t>
  </si>
  <si>
    <t>PWA-1022</t>
  </si>
  <si>
    <t>OT-2026024</t>
  </si>
  <si>
    <t>PXA-1023</t>
  </si>
  <si>
    <t>OT-2026025</t>
  </si>
  <si>
    <t>PYA-1024</t>
  </si>
  <si>
    <t>OT-2026026</t>
  </si>
  <si>
    <t>PZA-1025</t>
  </si>
  <si>
    <t>OT-2026027</t>
  </si>
  <si>
    <t>PAB-1026</t>
  </si>
  <si>
    <t>OT-2026028</t>
  </si>
  <si>
    <t>PBB-1027</t>
  </si>
  <si>
    <t>OT-2026029</t>
  </si>
  <si>
    <t>PCB-1028</t>
  </si>
  <si>
    <t>OT-2026030</t>
  </si>
  <si>
    <t>PDB-1029</t>
  </si>
  <si>
    <t>OT-2026031</t>
  </si>
  <si>
    <t>PEB-1030</t>
  </si>
  <si>
    <t>OT-2026032</t>
  </si>
  <si>
    <t>PFB-1031</t>
  </si>
  <si>
    <t>OT-2026033</t>
  </si>
  <si>
    <t>PGB-1032</t>
  </si>
  <si>
    <t>OT-2026034</t>
  </si>
  <si>
    <t>PHB-1033</t>
  </si>
  <si>
    <t>OT-2026035</t>
  </si>
  <si>
    <t>Pablo Guerrero</t>
  </si>
  <si>
    <t>PIB-1034</t>
  </si>
  <si>
    <t>OT-2026036</t>
  </si>
  <si>
    <t>PJB-1035</t>
  </si>
  <si>
    <t>OT-2026037</t>
  </si>
  <si>
    <t>PKB-1036</t>
  </si>
  <si>
    <t>OT-2026038</t>
  </si>
  <si>
    <t>PLB-1037</t>
  </si>
  <si>
    <t>OT-2026039</t>
  </si>
  <si>
    <t>PMB-1038</t>
  </si>
  <si>
    <t>OT-2026040</t>
  </si>
  <si>
    <t>PNB-1039</t>
  </si>
  <si>
    <t>OT-2026041</t>
  </si>
  <si>
    <t>POB-1040</t>
  </si>
  <si>
    <t>OT-2026042</t>
  </si>
  <si>
    <t>PPB-1041</t>
  </si>
  <si>
    <t>OT-2026043</t>
  </si>
  <si>
    <t>PQB-1042</t>
  </si>
  <si>
    <t>OT-2026044</t>
  </si>
  <si>
    <t>PRB-1043</t>
  </si>
  <si>
    <t>OT-2026045</t>
  </si>
  <si>
    <t>PSB-1044</t>
  </si>
  <si>
    <t>OT-2026046</t>
  </si>
  <si>
    <t>PTB-1045</t>
  </si>
  <si>
    <t>OT-2026047</t>
  </si>
  <si>
    <t>PUB-1046</t>
  </si>
  <si>
    <t>OT-2026048</t>
  </si>
  <si>
    <t>PVB-1047</t>
  </si>
  <si>
    <t>OT-2026049</t>
  </si>
  <si>
    <t>PWB-1048</t>
  </si>
  <si>
    <t>OT-2026050</t>
  </si>
  <si>
    <t>PXB-1049</t>
  </si>
  <si>
    <t>OT-2026051</t>
  </si>
  <si>
    <t>PYB-1050</t>
  </si>
  <si>
    <t>OT-2026052</t>
  </si>
  <si>
    <t>PZB-1051</t>
  </si>
  <si>
    <t>OT-2026053</t>
  </si>
  <si>
    <t>PAC-1052</t>
  </si>
  <si>
    <t>OT-2026054</t>
  </si>
  <si>
    <t>PBC-1053</t>
  </si>
  <si>
    <t>OT-2026055</t>
  </si>
  <si>
    <t>PCC-1054</t>
  </si>
  <si>
    <t>OT-2026056</t>
  </si>
  <si>
    <t>PDC-1055</t>
  </si>
  <si>
    <t>OT-2026057</t>
  </si>
  <si>
    <t>Carlos Andrade</t>
  </si>
  <si>
    <t>PEC-1056</t>
  </si>
  <si>
    <t>OT-2026058</t>
  </si>
  <si>
    <t>PFC-1057</t>
  </si>
  <si>
    <t>OT-2026059</t>
  </si>
  <si>
    <t>PGC-1058</t>
  </si>
  <si>
    <t>OT-2026060</t>
  </si>
  <si>
    <t>PHC-1059</t>
  </si>
  <si>
    <t>OT-2026061</t>
  </si>
  <si>
    <t>PIC-1060</t>
  </si>
  <si>
    <t>OT-2026062</t>
  </si>
  <si>
    <t>PJC-1061</t>
  </si>
  <si>
    <t>OT-2026063</t>
  </si>
  <si>
    <t>PKC-1062</t>
  </si>
  <si>
    <t>OT-2026064</t>
  </si>
  <si>
    <t>PLC-1063</t>
  </si>
  <si>
    <t>OT-2026065</t>
  </si>
  <si>
    <t>PMC-1064</t>
  </si>
  <si>
    <t>OT-2026066</t>
  </si>
  <si>
    <t>PNC-1065</t>
  </si>
  <si>
    <t>OT-2026067</t>
  </si>
  <si>
    <t>POC-1066</t>
  </si>
  <si>
    <t>Parada</t>
  </si>
  <si>
    <t>Falta de repuesto/autorización</t>
  </si>
  <si>
    <t>OT-2026068</t>
  </si>
  <si>
    <t>PPC-1067</t>
  </si>
  <si>
    <t>OT-2026069</t>
  </si>
  <si>
    <t>PQC-1068</t>
  </si>
  <si>
    <t>OT-2026070</t>
  </si>
  <si>
    <t>PRC-1069</t>
  </si>
  <si>
    <t>OT-2026071</t>
  </si>
  <si>
    <t>PSC-1070</t>
  </si>
  <si>
    <t>OT-2026072</t>
  </si>
  <si>
    <t>PTC-1071</t>
  </si>
  <si>
    <t>OT-2026073</t>
  </si>
  <si>
    <t>PUC-1072</t>
  </si>
  <si>
    <t>OT-2026074</t>
  </si>
  <si>
    <t>PVC-1073</t>
  </si>
  <si>
    <t>OT-2026075</t>
  </si>
  <si>
    <t>PWC-1074</t>
  </si>
  <si>
    <t>OT-2026076</t>
  </si>
  <si>
    <t>PXC-1075</t>
  </si>
  <si>
    <t>OT-2026077</t>
  </si>
  <si>
    <t>PYC-1076</t>
  </si>
  <si>
    <t>OT-2026078</t>
  </si>
  <si>
    <t>PZC-1077</t>
  </si>
  <si>
    <t>OT-2026079</t>
  </si>
  <si>
    <t>PAD-1078</t>
  </si>
  <si>
    <t>OT-2026080</t>
  </si>
  <si>
    <t>PBD-1079</t>
  </si>
  <si>
    <t>OT-2026081</t>
  </si>
  <si>
    <t>PCD-1080</t>
  </si>
  <si>
    <t>OT-2026082</t>
  </si>
  <si>
    <t>PDD-1081</t>
  </si>
  <si>
    <t>OT-2026083</t>
  </si>
  <si>
    <t>PED-1082</t>
  </si>
  <si>
    <t>OT-2026084</t>
  </si>
  <si>
    <t>PFD-1083</t>
  </si>
  <si>
    <t>OT-2026085</t>
  </si>
  <si>
    <t>PGD-1084</t>
  </si>
  <si>
    <t>OT-2026086</t>
  </si>
  <si>
    <t>PHD-1085</t>
  </si>
  <si>
    <t>OT-2026087</t>
  </si>
  <si>
    <t>PID-1086</t>
  </si>
  <si>
    <t>OT-2026088</t>
  </si>
  <si>
    <t>PJD-1087</t>
  </si>
  <si>
    <t>OT-2026089</t>
  </si>
  <si>
    <t>PKD-1088</t>
  </si>
  <si>
    <t>OT-2026090</t>
  </si>
  <si>
    <t>PLD-1089</t>
  </si>
  <si>
    <t>OT-2026091</t>
  </si>
  <si>
    <t>PMD-1090</t>
  </si>
  <si>
    <t>OT-2026092</t>
  </si>
  <si>
    <t>PND-1091</t>
  </si>
  <si>
    <t>OT-2026093</t>
  </si>
  <si>
    <t>POD-1092</t>
  </si>
  <si>
    <t>OT-2026094</t>
  </si>
  <si>
    <t>PPD-1093</t>
  </si>
  <si>
    <t>OT-2026095</t>
  </si>
  <si>
    <t>PQD-1094</t>
  </si>
  <si>
    <t>OT-2026096</t>
  </si>
  <si>
    <t>PRD-1095</t>
  </si>
  <si>
    <t>OT-2026097</t>
  </si>
  <si>
    <t>PSD-1096</t>
  </si>
  <si>
    <t>OT-2026098</t>
  </si>
  <si>
    <t>PTD-1097</t>
  </si>
  <si>
    <t>OT-2026099</t>
  </si>
  <si>
    <t>PUD-1098</t>
  </si>
  <si>
    <t>OT-2026100</t>
  </si>
  <si>
    <t>PVD-1099</t>
  </si>
  <si>
    <t>OT-2026101</t>
  </si>
  <si>
    <t>PWD-1100</t>
  </si>
  <si>
    <t>OT-2026102</t>
  </si>
  <si>
    <t>PXD-1101</t>
  </si>
  <si>
    <t>OT-2026103</t>
  </si>
  <si>
    <t>PYD-1102</t>
  </si>
  <si>
    <t>OT-2026104</t>
  </si>
  <si>
    <t>PZD-1103</t>
  </si>
  <si>
    <t>OT-2026105</t>
  </si>
  <si>
    <t>PAE-1104</t>
  </si>
  <si>
    <t>OT-2026106</t>
  </si>
  <si>
    <t>PBE-1105</t>
  </si>
  <si>
    <t>OT-2026107</t>
  </si>
  <si>
    <t>PCE-1106</t>
  </si>
  <si>
    <t>OT-2026108</t>
  </si>
  <si>
    <t>PDE-1107</t>
  </si>
  <si>
    <t>OT-2026109</t>
  </si>
  <si>
    <t>PEE-1108</t>
  </si>
  <si>
    <t>OT-2026110</t>
  </si>
  <si>
    <t>PFE-1109</t>
  </si>
  <si>
    <t>OT-2026111</t>
  </si>
  <si>
    <t>PGE-1110</t>
  </si>
  <si>
    <t>OT-2026112</t>
  </si>
  <si>
    <t>PHE-1111</t>
  </si>
  <si>
    <t>OT-2026113</t>
  </si>
  <si>
    <t>PIE-1112</t>
  </si>
  <si>
    <t>OT-2026114</t>
  </si>
  <si>
    <t>PJE-1113</t>
  </si>
  <si>
    <t>OT-2026115</t>
  </si>
  <si>
    <t>PKE-1114</t>
  </si>
  <si>
    <t>OT-2026116</t>
  </si>
  <si>
    <t>PLE-1115</t>
  </si>
  <si>
    <t>OT-2026117</t>
  </si>
  <si>
    <t>PME-1116</t>
  </si>
  <si>
    <t>OT-2026118</t>
  </si>
  <si>
    <t>PNE-1117</t>
  </si>
  <si>
    <t>OT-2026119</t>
  </si>
  <si>
    <t>POE-1118</t>
  </si>
  <si>
    <t>OT-2026120</t>
  </si>
  <si>
    <t>PPE-1119</t>
  </si>
  <si>
    <t>OT-2026121</t>
  </si>
  <si>
    <t>PQE-1120</t>
  </si>
  <si>
    <t>OT-2026122</t>
  </si>
  <si>
    <t>PRE-1121</t>
  </si>
  <si>
    <t>OT-2026123</t>
  </si>
  <si>
    <t>PSE-1122</t>
  </si>
  <si>
    <t>OT-2026124</t>
  </si>
  <si>
    <t>PTE-1123</t>
  </si>
  <si>
    <t>OT-2026125</t>
  </si>
  <si>
    <t>PUE-1124</t>
  </si>
  <si>
    <t>OT-2026126</t>
  </si>
  <si>
    <t>PVE-1125</t>
  </si>
  <si>
    <t>OT-2026127</t>
  </si>
  <si>
    <t>PWE-1126</t>
  </si>
  <si>
    <t>OT-2026128</t>
  </si>
  <si>
    <t>PXE-1127</t>
  </si>
  <si>
    <t>OT-2026129</t>
  </si>
  <si>
    <t>PYE-1128</t>
  </si>
  <si>
    <t>OT-2026130</t>
  </si>
  <si>
    <t>PZE-1129</t>
  </si>
  <si>
    <t>OT-2026131</t>
  </si>
  <si>
    <t>PAF-1130</t>
  </si>
  <si>
    <t>OT-2026132</t>
  </si>
  <si>
    <t>PBF-1131</t>
  </si>
  <si>
    <t>OT-2026133</t>
  </si>
  <si>
    <t>PCF-1132</t>
  </si>
  <si>
    <t>OT-2026134</t>
  </si>
  <si>
    <t>PDF-1133</t>
  </si>
  <si>
    <t>OT-2026135</t>
  </si>
  <si>
    <t>PEF-1134</t>
  </si>
  <si>
    <t>OT-2026136</t>
  </si>
  <si>
    <t>PFF-1135</t>
  </si>
  <si>
    <t>OT-2026137</t>
  </si>
  <si>
    <t>PGF-1136</t>
  </si>
  <si>
    <t>OT-2026138</t>
  </si>
  <si>
    <t>PHF-1137</t>
  </si>
  <si>
    <t>OT-2026139</t>
  </si>
  <si>
    <t>PIF-1138</t>
  </si>
  <si>
    <t>OT-2026140</t>
  </si>
  <si>
    <t>PJF-1139</t>
  </si>
  <si>
    <t>OT-2026141</t>
  </si>
  <si>
    <t>PKF-1140</t>
  </si>
  <si>
    <t>OT-2026142</t>
  </si>
  <si>
    <t>PLF-1141</t>
  </si>
  <si>
    <t>OT-2026143</t>
  </si>
  <si>
    <t>PMF-1142</t>
  </si>
  <si>
    <t>OT-2026144</t>
  </si>
  <si>
    <t>PNF-1143</t>
  </si>
  <si>
    <t>OT-2026145</t>
  </si>
  <si>
    <t>POF-1144</t>
  </si>
  <si>
    <t>OT-2026146</t>
  </si>
  <si>
    <t>PPF-1145</t>
  </si>
  <si>
    <t>OT-2026147</t>
  </si>
  <si>
    <t>PQF-1146</t>
  </si>
  <si>
    <t>OT-2026148</t>
  </si>
  <si>
    <t>PRF-1147</t>
  </si>
  <si>
    <t>OT-2026149</t>
  </si>
  <si>
    <t>PSF-1148</t>
  </si>
  <si>
    <t>OT-2026150</t>
  </si>
  <si>
    <t>PTF-1149</t>
  </si>
  <si>
    <t>OT-2026151</t>
  </si>
  <si>
    <t>PUF-1150</t>
  </si>
  <si>
    <t>OT-2026152</t>
  </si>
  <si>
    <t>PVF-1151</t>
  </si>
  <si>
    <t>OT-2026153</t>
  </si>
  <si>
    <t>PWF-1152</t>
  </si>
  <si>
    <t>OT-2026154</t>
  </si>
  <si>
    <t>PXF-1153</t>
  </si>
  <si>
    <t>OT-2026155</t>
  </si>
  <si>
    <t>PYF-1154</t>
  </si>
  <si>
    <t>OT-2026156</t>
  </si>
  <si>
    <t>PZF-1155</t>
  </si>
  <si>
    <t>OT-2026157</t>
  </si>
  <si>
    <t>PAG-1156</t>
  </si>
  <si>
    <t>OT-2026158</t>
  </si>
  <si>
    <t>PBG-1157</t>
  </si>
  <si>
    <t>OT-2026159</t>
  </si>
  <si>
    <t>PCG-1158</t>
  </si>
  <si>
    <t>OT-2026160</t>
  </si>
  <si>
    <t>PDG-1159</t>
  </si>
  <si>
    <t>OT-2026161</t>
  </si>
  <si>
    <t>PEG-1160</t>
  </si>
  <si>
    <t>OT-2026162</t>
  </si>
  <si>
    <t>PFG-1161</t>
  </si>
  <si>
    <t>OT-2026163</t>
  </si>
  <si>
    <t>PGG-1162</t>
  </si>
  <si>
    <t>OT-2026164</t>
  </si>
  <si>
    <t>PHG-1163</t>
  </si>
  <si>
    <t>OT-2026165</t>
  </si>
  <si>
    <t>PIG-1164</t>
  </si>
  <si>
    <t>OT-2026166</t>
  </si>
  <si>
    <t>PJG-1165</t>
  </si>
  <si>
    <t>OT-2026167</t>
  </si>
  <si>
    <t>PKG-1166</t>
  </si>
  <si>
    <t>OT-2026168</t>
  </si>
  <si>
    <t>PLG-1167</t>
  </si>
  <si>
    <t>OT-2026169</t>
  </si>
  <si>
    <t>PMG-1168</t>
  </si>
  <si>
    <t>OT-2026170</t>
  </si>
  <si>
    <t>PNG-1169</t>
  </si>
  <si>
    <t>OT-2026171</t>
  </si>
  <si>
    <t>POG-1170</t>
  </si>
  <si>
    <t>OT-2026172</t>
  </si>
  <si>
    <t>PPG-1171</t>
  </si>
  <si>
    <t>OT-2026173</t>
  </si>
  <si>
    <t>PQG-1172</t>
  </si>
  <si>
    <t>OT-2026174</t>
  </si>
  <si>
    <t>PRG-1173</t>
  </si>
  <si>
    <t>OT-2026175</t>
  </si>
  <si>
    <t>PSG-1174</t>
  </si>
  <si>
    <t>OT-2026176</t>
  </si>
  <si>
    <t>PTG-1175</t>
  </si>
  <si>
    <t>OT-2026177</t>
  </si>
  <si>
    <t>PUG-1176</t>
  </si>
  <si>
    <t>OT-2026178</t>
  </si>
  <si>
    <t>PVG-1177</t>
  </si>
  <si>
    <t>OT-2026179</t>
  </si>
  <si>
    <t>PWG-1178</t>
  </si>
  <si>
    <t>OT-2026180</t>
  </si>
  <si>
    <t>PXG-1179</t>
  </si>
  <si>
    <t>OT-2026181</t>
  </si>
  <si>
    <t>PYG-1180</t>
  </si>
  <si>
    <t>OT-2026182</t>
  </si>
  <si>
    <t>PZG-1181</t>
  </si>
  <si>
    <t>OT-2026183</t>
  </si>
  <si>
    <t>PAH-1182</t>
  </si>
  <si>
    <t>OT-2026184</t>
  </si>
  <si>
    <t>PBH-1183</t>
  </si>
  <si>
    <t>OT-2026185</t>
  </si>
  <si>
    <t>PCH-1184</t>
  </si>
  <si>
    <t>OT-2026186</t>
  </si>
  <si>
    <t>PDH-1185</t>
  </si>
  <si>
    <t>OT-2026187</t>
  </si>
  <si>
    <t>PEH-1186</t>
  </si>
  <si>
    <t>OT-2026188</t>
  </si>
  <si>
    <t>PFH-1187</t>
  </si>
  <si>
    <t>OT-2026189</t>
  </si>
  <si>
    <t>PGH-1188</t>
  </si>
  <si>
    <t>OT-2026190</t>
  </si>
  <si>
    <t>PHH-1189</t>
  </si>
  <si>
    <t>OT-2026191</t>
  </si>
  <si>
    <t>PIH-1190</t>
  </si>
  <si>
    <t>OT-2026192</t>
  </si>
  <si>
    <t>PJH-1191</t>
  </si>
  <si>
    <t>OT-2026193</t>
  </si>
  <si>
    <t>PKH-1192</t>
  </si>
  <si>
    <t>OT-2026194</t>
  </si>
  <si>
    <t>PLH-1193</t>
  </si>
  <si>
    <t>OT-2026195</t>
  </si>
  <si>
    <t>PMH-1194</t>
  </si>
  <si>
    <t>OT-2026196</t>
  </si>
  <si>
    <t>PNH-1195</t>
  </si>
  <si>
    <t>OT-2026197</t>
  </si>
  <si>
    <t>POH-1196</t>
  </si>
  <si>
    <t>OT-2026198</t>
  </si>
  <si>
    <t>PPH-1197</t>
  </si>
  <si>
    <t>OT-2026199</t>
  </si>
  <si>
    <t>PQH-1198</t>
  </si>
  <si>
    <t>OT-2026200</t>
  </si>
  <si>
    <t>PRH-1199</t>
  </si>
  <si>
    <t>OT-2026201</t>
  </si>
  <si>
    <t>PSH-1200</t>
  </si>
  <si>
    <t>OT-2026202</t>
  </si>
  <si>
    <t>PTH-1201</t>
  </si>
  <si>
    <t>OT-2026203</t>
  </si>
  <si>
    <t>PUH-1202</t>
  </si>
  <si>
    <t>OT-2026204</t>
  </si>
  <si>
    <t>PVH-1203</t>
  </si>
  <si>
    <t>OT-2026205</t>
  </si>
  <si>
    <t>PWH-1204</t>
  </si>
  <si>
    <t>OT-2026206</t>
  </si>
  <si>
    <t>PXH-1205</t>
  </si>
  <si>
    <t>OT-2026207</t>
  </si>
  <si>
    <t>PYH-1206</t>
  </si>
  <si>
    <t>OT-2026208</t>
  </si>
  <si>
    <t>PZH-1207</t>
  </si>
  <si>
    <t>OT-2026209</t>
  </si>
  <si>
    <t>PAI-1208</t>
  </si>
  <si>
    <t>OT-2026210</t>
  </si>
  <si>
    <t>PBI-1209</t>
  </si>
  <si>
    <t>OT-2026211</t>
  </si>
  <si>
    <t>PCI-1210</t>
  </si>
  <si>
    <t>OT-2026212</t>
  </si>
  <si>
    <t>PDI-1211</t>
  </si>
  <si>
    <t>OT-2026213</t>
  </si>
  <si>
    <t>PEI-1212</t>
  </si>
  <si>
    <t>OT-2026214</t>
  </si>
  <si>
    <t>PFI-1213</t>
  </si>
  <si>
    <t>OT-2026215</t>
  </si>
  <si>
    <t>PGI-1214</t>
  </si>
  <si>
    <t>OT-2026216</t>
  </si>
  <si>
    <t>PHI-1215</t>
  </si>
  <si>
    <t>OT-2026217</t>
  </si>
  <si>
    <t>PII-1216</t>
  </si>
  <si>
    <t>OT-2026218</t>
  </si>
  <si>
    <t>PJI-1217</t>
  </si>
  <si>
    <t>OT-2026219</t>
  </si>
  <si>
    <t>PKI-1218</t>
  </si>
  <si>
    <t>OT-2026220</t>
  </si>
  <si>
    <t>PLI-1219</t>
  </si>
  <si>
    <t>OT-2026221</t>
  </si>
  <si>
    <t>PMI-1220</t>
  </si>
  <si>
    <t>OT-2026222</t>
  </si>
  <si>
    <t>PNI-1221</t>
  </si>
  <si>
    <t>OT-2026223</t>
  </si>
  <si>
    <t>POI-1222</t>
  </si>
  <si>
    <t>OT-2026224</t>
  </si>
  <si>
    <t>PPI-1223</t>
  </si>
  <si>
    <t>OT-2026225</t>
  </si>
  <si>
    <t>PQI-1224</t>
  </si>
  <si>
    <t>OT-2026226</t>
  </si>
  <si>
    <t>PRI-1225</t>
  </si>
  <si>
    <t>OT-2026227</t>
  </si>
  <si>
    <t>PSI-1226</t>
  </si>
  <si>
    <t>OT-2026228</t>
  </si>
  <si>
    <t>PTI-1227</t>
  </si>
  <si>
    <t>OT-2026229</t>
  </si>
  <si>
    <t>PUI-1228</t>
  </si>
  <si>
    <t>OT-2026230</t>
  </si>
  <si>
    <t>PVI-1229</t>
  </si>
  <si>
    <t>RESUMEN DE LA BASE DE DATOS</t>
  </si>
  <si>
    <t>Indicador</t>
  </si>
  <si>
    <t>Valor</t>
  </si>
  <si>
    <t>Cantidad</t>
  </si>
  <si>
    <t>Total órdenes</t>
  </si>
  <si>
    <t>Horas extraordinarias</t>
  </si>
  <si>
    <t>Campo</t>
  </si>
  <si>
    <t>Descripción</t>
  </si>
  <si>
    <t>Identificador único de la orden de trabajo.</t>
  </si>
  <si>
    <t>Fecha asignada dentro del período 13-27 julio de 2026.</t>
  </si>
  <si>
    <t>Tiempo estándar del mantenimiento según modelo y kilometraje.</t>
  </si>
  <si>
    <t>Tempario dividido para la eficiencia operativa del 82%.</t>
  </si>
  <si>
    <t>Horas ejecutadas dentro de la jornada ordinaria.</t>
  </si>
  <si>
    <t>Horas fuera de la jornada; máximo 3 h diarias por técnico.</t>
  </si>
  <si>
    <t>Horas requeridas multiplicadas por 25 USD/h.</t>
  </si>
  <si>
    <t>Recepción y entrega: 1,0 h a 11 USD/h.</t>
  </si>
  <si>
    <t>0,25 h a 2 USD/h.</t>
  </si>
  <si>
    <t>0,50 h a 10 USD/h.</t>
  </si>
  <si>
    <t>Costo total más margen referencial del 45%.</t>
  </si>
  <si>
    <t>Precio estimado menos costo total.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</si>
</sst>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dd/mm/yyyy"/>
    <numFmt numFmtId="180" formatCode="dd/mm/yyyy\ hh:mm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0"/>
      <color rgb="FFFFFFFF"/>
      <name val="Carlito"/>
      <charset val="134"/>
    </font>
    <font>
      <b/>
      <sz val="18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/>
    <xf numFmtId="0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78" fontId="0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Fill="1" applyBorder="1"/>
    <xf numFmtId="9" fontId="0" fillId="0" borderId="0" xfId="0" applyNumberFormat="1" applyFont="1" applyFill="1" applyBorder="1"/>
    <xf numFmtId="18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Distribución inicial de órdenes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"Cantidad"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Lbls>
            <c:delete val="1"/>
          </c:dLbls>
          <c:cat>
            <c:strRef>
              <c:f>Resumen_Base!$D$4:$D$8</c:f>
              <c:strCache>
                <c:ptCount val="5"/>
                <c:pt idx="0">
                  <c:v>En desarrollo</c:v>
                </c:pt>
                <c:pt idx="1">
                  <c:v>Planificada</c:v>
                </c:pt>
                <c:pt idx="2">
                  <c:v>Proyectada</c:v>
                </c:pt>
                <c:pt idx="3">
                  <c:v>Prevista</c:v>
                </c:pt>
                <c:pt idx="4">
                  <c:v>Parada</c:v>
                </c:pt>
              </c:strCache>
            </c:strRef>
          </c:cat>
          <c:val>
            <c:numRef>
              <c:f>Resumen_Base!$E$4:$E$8</c:f>
              <c:numCache>
                <c:formatCode>General</c:formatCode>
                <c:ptCount val="5"/>
                <c:pt idx="0">
                  <c:v>42</c:v>
                </c:pt>
                <c:pt idx="1">
                  <c:v>73</c:v>
                </c:pt>
                <c:pt idx="2">
                  <c:v>80</c:v>
                </c:pt>
                <c:pt idx="3">
                  <c:v>31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ab7a49d-16b1-49ec-b12f-17d962a19c4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>
      <xdr:nvGraphicFramePr>
        <xdr:cNvPr id="2" name="Chart"/>
        <xdr:cNvGraphicFramePr/>
      </xdr:nvGraphicFramePr>
      <xdr:xfrm>
        <a:off x="3657600" y="1668780"/>
        <a:ext cx="97536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Parametros" displayName="TablaParametros" ref="A1:C19">
  <tableColumns count="3">
    <tableColumn id="1" name="PARÁMETRO"/>
    <tableColumn id="2" name="VALOR"/>
    <tableColumn id="3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ersonal" displayName="TablaPersonal" ref="A1:E11">
  <tableColumns count="5">
    <tableColumn id="1" name="Código"/>
    <tableColumn id="2" name="Nombre"/>
    <tableColumn id="3" name="Cargo"/>
    <tableColumn id="4" name="Capacidad diaria (h)"/>
    <tableColumn id="5" name="Costo hora (US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Temparios" displayName="TablaTemparios" ref="A1:AD22">
  <tableColumns count="30">
    <tableColumn id="1" name="Kilometraje"/>
    <tableColumn id="2" name="Tipo de mantenimiento"/>
    <tableColumn id="3" name="I10"/>
    <tableColumn id="4" name="ACCENT"/>
    <tableColumn id="5" name="ELANTRA"/>
    <tableColumn id="6" name="GETZ"/>
    <tableColumn id="7" name="GETZ 1.5 D"/>
    <tableColumn id="8" name="i30"/>
    <tableColumn id="9" name="MATRIX"/>
    <tableColumn id="10" name="SANTA FE 2.4 MT"/>
    <tableColumn id="11" name="SANTA FE 2.4 AT"/>
    <tableColumn id="12" name="SANTA FE CM 2.7 V6 MT"/>
    <tableColumn id="13" name="SANTA FE CM 2.7 V6 AT"/>
    <tableColumn id="14" name="SANTA FE CM 2.2 D MT"/>
    <tableColumn id="15" name="SANTA FE CM 2.2 D AT"/>
    <tableColumn id="16" name="SANTA FE CM 2.4 MT"/>
    <tableColumn id="17" name="SANTA FE CM 2.4 AT"/>
    <tableColumn id="18" name="TUCSON 2.0 MT"/>
    <tableColumn id="19" name="TUCSON 2.0 AT"/>
    <tableColumn id="20" name="TUCSON 2.0 D4EA"/>
    <tableColumn id="21" name="TUCSON ix35 2.0 MT"/>
    <tableColumn id="22" name="TUCSON ix35 2.0 AT"/>
    <tableColumn id="23" name="TERRACAN 2.5 D MT"/>
    <tableColumn id="24" name="TERRACAN 2.9 D MT"/>
    <tableColumn id="25" name="TERRACAN 2.9 D AT"/>
    <tableColumn id="26" name="TERRACAN 3.5 AT"/>
    <tableColumn id="27" name="VERACRUZ 3.8 V6 G"/>
    <tableColumn id="28" name="VERACRUZ 3.0 V6 CRDI"/>
    <tableColumn id="29" name="H-100"/>
    <tableColumn id="30" name="TQ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Vehiculos" displayName="TablaVehiculos" ref="A1:C29">
  <tableColumns count="3">
    <tableColumn id="1" name="Modelo"/>
    <tableColumn id="2" name="Tipo de vehículo"/>
    <tableColumn id="3" name="Mar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Ordenes" displayName="TablaOrdenes" ref="A1:AF231">
  <tableColumns count="32">
    <tableColumn id="1" name="OT"/>
    <tableColumn id="2" name="Fecha programación"/>
    <tableColumn id="3" name="Semana"/>
    <tableColumn id="4" name="Cliente"/>
    <tableColumn id="5" name="Placa"/>
    <tableColumn id="6" name="Marca"/>
    <tableColumn id="7" name="Modelo"/>
    <tableColumn id="8" name="Tipo vehículo"/>
    <tableColumn id="9" name="Kilometraje"/>
    <tableColumn id="10" name="Tipo mantenimiento"/>
    <tableColumn id="11" name="Tempario (h)"/>
    <tableColumn id="12" name="Eficiencia"/>
    <tableColumn id="13" name="Horas requeridas"/>
    <tableColumn id="14" name="Cód. técnico"/>
    <tableColumn id="15" name="Técnico"/>
    <tableColumn id="16" name="Cód. asesor"/>
    <tableColumn id="17" name="Asesor"/>
    <tableColumn id="18" name="Bahía"/>
    <tableColumn id="19" name="Inicio"/>
    <tableColumn id="20" name="Fin estimado"/>
    <tableColumn id="21" name="Entrega estimada"/>
    <tableColumn id="22" name="Estado"/>
    <tableColumn id="23" name="Horas normales"/>
    <tableColumn id="24" name="Horas extra"/>
    <tableColumn id="25" name="Costo técnico"/>
    <tableColumn id="26" name="Costo asesor"/>
    <tableColumn id="27" name="Costo lavado"/>
    <tableColumn id="28" name="Costo control calidad"/>
    <tableColumn id="29" name="Costo total"/>
    <tableColumn id="30" name="Precio estimado"/>
    <tableColumn id="31" name="Ganancia estimada"/>
    <tableColumn id="32" name="Observ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Diccionario" displayName="TablaDiccionario" ref="A1:B13">
  <tableColumns count="2">
    <tableColumn id="1" name="Campo"/>
    <tableColumn id="2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D16" sqref="D16"/>
    </sheetView>
  </sheetViews>
  <sheetFormatPr defaultColWidth="9" defaultRowHeight="13.8" outlineLevelCol="7"/>
  <cols>
    <col min="1" max="8" width="18" customWidth="1"/>
  </cols>
  <sheetData>
    <row r="1" spans="1:8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4" spans="1:8">
      <c r="A4" s="4" t="s">
        <v>1</v>
      </c>
      <c r="B4" s="5" t="s">
        <v>2</v>
      </c>
    </row>
    <row r="5" spans="1:8">
      <c r="A5" s="4" t="s">
        <v>3</v>
      </c>
      <c r="B5" s="5" t="s">
        <v>4</v>
      </c>
    </row>
    <row r="6" spans="1:8">
      <c r="A6" s="4" t="s">
        <v>5</v>
      </c>
      <c r="B6" s="5">
        <v>230</v>
      </c>
    </row>
    <row r="7" spans="1:8">
      <c r="A7" s="4" t="s">
        <v>6</v>
      </c>
      <c r="B7" s="5">
        <v>42</v>
      </c>
    </row>
    <row r="8" spans="1:8">
      <c r="A8" s="4" t="s">
        <v>7</v>
      </c>
      <c r="B8" s="5">
        <v>73</v>
      </c>
    </row>
    <row r="9" spans="1:8">
      <c r="A9" s="4" t="s">
        <v>8</v>
      </c>
      <c r="B9" s="5">
        <v>80</v>
      </c>
    </row>
    <row r="10" spans="1:8">
      <c r="A10" s="4" t="s">
        <v>9</v>
      </c>
      <c r="B10" s="5">
        <v>31</v>
      </c>
    </row>
    <row r="11" spans="1:8">
      <c r="A11" s="4" t="s">
        <v>10</v>
      </c>
      <c r="B11" s="5">
        <v>4</v>
      </c>
    </row>
    <row r="12" spans="1:8">
      <c r="A12" s="4" t="s">
        <v>11</v>
      </c>
      <c r="B12" s="5" t="s">
        <v>12</v>
      </c>
    </row>
    <row r="13" spans="1:8">
      <c r="A13" s="4" t="s">
        <v>13</v>
      </c>
      <c r="B13" s="5" t="s">
        <v>14</v>
      </c>
    </row>
  </sheetData>
  <mergeCells count="1"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3.8" outlineLevelCol="2"/>
  <cols>
    <col min="1" max="1" width="25.1" customWidth="1"/>
    <col min="2" max="2" width="12.4" customWidth="1"/>
    <col min="3" max="3" width="9.38333333333333" customWidth="1"/>
  </cols>
  <sheetData>
    <row r="1" ht="32" customHeight="1" spans="1:3">
      <c r="A1" s="16" t="s">
        <v>15</v>
      </c>
      <c r="B1" s="16" t="s">
        <v>16</v>
      </c>
      <c r="C1" s="16" t="s">
        <v>17</v>
      </c>
    </row>
    <row r="2" spans="1:3">
      <c r="A2" t="s">
        <v>18</v>
      </c>
      <c r="B2" t="s">
        <v>19</v>
      </c>
      <c r="C2" t="s">
        <v>20</v>
      </c>
    </row>
    <row r="3" spans="1:3">
      <c r="A3" t="s">
        <v>21</v>
      </c>
      <c r="B3" t="s">
        <v>22</v>
      </c>
      <c r="C3" t="s">
        <v>20</v>
      </c>
    </row>
    <row r="4" spans="1:3">
      <c r="A4" t="s">
        <v>23</v>
      </c>
      <c r="B4">
        <v>0.2</v>
      </c>
      <c r="C4" t="s">
        <v>24</v>
      </c>
    </row>
    <row r="5" spans="1:3">
      <c r="A5" t="s">
        <v>25</v>
      </c>
      <c r="B5">
        <v>0.1</v>
      </c>
      <c r="C5" t="s">
        <v>26</v>
      </c>
    </row>
    <row r="6" spans="1:3">
      <c r="A6" t="s">
        <v>27</v>
      </c>
      <c r="B6">
        <v>0.5</v>
      </c>
      <c r="C6" t="s">
        <v>28</v>
      </c>
    </row>
    <row r="7" spans="1:3">
      <c r="A7" t="s">
        <v>29</v>
      </c>
      <c r="B7">
        <v>0.4</v>
      </c>
      <c r="C7" t="s">
        <v>30</v>
      </c>
    </row>
    <row r="8" spans="1:3">
      <c r="A8" t="s">
        <v>31</v>
      </c>
      <c r="B8">
        <v>0.25</v>
      </c>
      <c r="C8" t="s">
        <v>30</v>
      </c>
    </row>
    <row r="9" spans="1:3">
      <c r="A9" t="s">
        <v>32</v>
      </c>
      <c r="B9">
        <v>0.4</v>
      </c>
      <c r="C9" t="s">
        <v>30</v>
      </c>
    </row>
    <row r="10" spans="1:3">
      <c r="A10" t="s">
        <v>33</v>
      </c>
      <c r="B10">
        <v>0.5</v>
      </c>
      <c r="C10" t="s">
        <v>30</v>
      </c>
    </row>
    <row r="11" spans="1:3">
      <c r="A11" t="s">
        <v>34</v>
      </c>
      <c r="B11">
        <v>0.6</v>
      </c>
      <c r="C11" t="s">
        <v>30</v>
      </c>
    </row>
    <row r="12" spans="1:3">
      <c r="A12" t="s">
        <v>35</v>
      </c>
      <c r="B12">
        <v>8</v>
      </c>
      <c r="C12" t="s">
        <v>24</v>
      </c>
    </row>
    <row r="13" spans="1:3">
      <c r="A13" t="s">
        <v>36</v>
      </c>
      <c r="B13" s="11">
        <v>0.82</v>
      </c>
      <c r="C13" t="s">
        <v>37</v>
      </c>
    </row>
    <row r="14" spans="1:3">
      <c r="A14" t="s">
        <v>38</v>
      </c>
      <c r="B14">
        <v>25</v>
      </c>
      <c r="C14" t="s">
        <v>39</v>
      </c>
    </row>
    <row r="15" spans="1:3">
      <c r="A15" t="s">
        <v>40</v>
      </c>
      <c r="B15">
        <v>11</v>
      </c>
      <c r="C15" t="s">
        <v>39</v>
      </c>
    </row>
    <row r="16" spans="1:3">
      <c r="A16" t="s">
        <v>41</v>
      </c>
      <c r="B16">
        <v>2</v>
      </c>
      <c r="C16" t="s">
        <v>39</v>
      </c>
    </row>
    <row r="17" spans="1:3">
      <c r="A17" t="s">
        <v>42</v>
      </c>
      <c r="B17">
        <v>10</v>
      </c>
      <c r="C17" t="s">
        <v>39</v>
      </c>
    </row>
    <row r="18" spans="1:3">
      <c r="A18" t="s">
        <v>43</v>
      </c>
      <c r="B18">
        <v>3</v>
      </c>
      <c r="C18" t="s">
        <v>24</v>
      </c>
    </row>
    <row r="19" spans="1:3">
      <c r="A19" t="s">
        <v>44</v>
      </c>
      <c r="B19">
        <v>4</v>
      </c>
      <c r="C19" t="s">
        <v>24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8" outlineLevelCol="4"/>
  <cols>
    <col min="1" max="1" width="7.7" customWidth="1"/>
    <col min="2" max="3" width="16.8" customWidth="1"/>
    <col min="4" max="4" width="18.25" customWidth="1"/>
    <col min="5" max="5" width="16" customWidth="1"/>
  </cols>
  <sheetData>
    <row r="1" ht="32" customHeight="1" spans="1:5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</row>
    <row r="2" spans="1:5">
      <c r="A2" t="s">
        <v>50</v>
      </c>
      <c r="B2" t="s">
        <v>51</v>
      </c>
      <c r="C2" t="s">
        <v>52</v>
      </c>
      <c r="D2" s="7">
        <v>8</v>
      </c>
      <c r="E2" s="7">
        <v>25</v>
      </c>
    </row>
    <row r="3" spans="1:5">
      <c r="A3" t="s">
        <v>53</v>
      </c>
      <c r="B3" t="s">
        <v>54</v>
      </c>
      <c r="C3" t="s">
        <v>52</v>
      </c>
      <c r="D3" s="7">
        <v>8</v>
      </c>
      <c r="E3" s="7">
        <v>25</v>
      </c>
    </row>
    <row r="4" spans="1:5">
      <c r="A4" t="s">
        <v>55</v>
      </c>
      <c r="B4" t="s">
        <v>56</v>
      </c>
      <c r="C4" t="s">
        <v>52</v>
      </c>
      <c r="D4" s="7">
        <v>8</v>
      </c>
      <c r="E4" s="7">
        <v>25</v>
      </c>
    </row>
    <row r="5" spans="1:5">
      <c r="A5" t="s">
        <v>57</v>
      </c>
      <c r="B5" t="s">
        <v>58</v>
      </c>
      <c r="C5" t="s">
        <v>52</v>
      </c>
      <c r="D5" s="7">
        <v>8</v>
      </c>
      <c r="E5" s="7">
        <v>25</v>
      </c>
    </row>
    <row r="6" spans="1:5">
      <c r="A6" t="s">
        <v>59</v>
      </c>
      <c r="B6" t="s">
        <v>60</v>
      </c>
      <c r="C6" t="s">
        <v>52</v>
      </c>
      <c r="D6" s="7">
        <v>8</v>
      </c>
      <c r="E6" s="7">
        <v>25</v>
      </c>
    </row>
    <row r="7" spans="1:5">
      <c r="A7" t="s">
        <v>61</v>
      </c>
      <c r="B7" t="s">
        <v>62</v>
      </c>
      <c r="C7" t="s">
        <v>52</v>
      </c>
      <c r="D7" s="7">
        <v>8</v>
      </c>
      <c r="E7" s="7">
        <v>25</v>
      </c>
    </row>
    <row r="8" spans="1:5">
      <c r="A8" t="s">
        <v>63</v>
      </c>
      <c r="B8" t="s">
        <v>64</v>
      </c>
      <c r="C8" t="s">
        <v>65</v>
      </c>
      <c r="D8" s="7">
        <v>8</v>
      </c>
      <c r="E8" s="7">
        <v>11</v>
      </c>
    </row>
    <row r="9" spans="1:5">
      <c r="A9" t="s">
        <v>66</v>
      </c>
      <c r="B9" t="s">
        <v>67</v>
      </c>
      <c r="C9" t="s">
        <v>65</v>
      </c>
      <c r="D9" s="7">
        <v>8</v>
      </c>
      <c r="E9" s="7">
        <v>11</v>
      </c>
    </row>
    <row r="10" spans="1:5">
      <c r="A10" t="s">
        <v>68</v>
      </c>
      <c r="B10" t="s">
        <v>69</v>
      </c>
      <c r="C10" t="s">
        <v>33</v>
      </c>
      <c r="D10" s="7">
        <v>8</v>
      </c>
      <c r="E10" s="7">
        <v>10</v>
      </c>
    </row>
    <row r="11" spans="1:5">
      <c r="A11" t="s">
        <v>70</v>
      </c>
      <c r="B11" t="s">
        <v>71</v>
      </c>
      <c r="C11" t="s">
        <v>72</v>
      </c>
      <c r="D11" s="7">
        <v>8</v>
      </c>
      <c r="E11" s="7">
        <v>2</v>
      </c>
    </row>
    <row r="12" spans="1:5">
      <c r="D12" s="7"/>
      <c r="E12" s="7"/>
    </row>
    <row r="13" spans="1:5">
      <c r="D13" s="7"/>
      <c r="E13" s="7"/>
    </row>
    <row r="14" spans="1:5">
      <c r="D14" s="7"/>
      <c r="E14" s="7"/>
    </row>
    <row r="15" spans="1:5">
      <c r="D15" s="7"/>
      <c r="E15" s="7"/>
    </row>
    <row r="16" spans="1:5">
      <c r="D16" s="7"/>
      <c r="E16" s="7"/>
    </row>
    <row r="17" spans="4:5">
      <c r="D17" s="7"/>
      <c r="E17" s="7"/>
    </row>
    <row r="18" spans="4:5">
      <c r="D18" s="7"/>
      <c r="E18" s="7"/>
    </row>
    <row r="19" spans="4:5">
      <c r="D19" s="7"/>
      <c r="E19" s="7"/>
    </row>
    <row r="20" spans="4:5">
      <c r="D20" s="7"/>
      <c r="E20" s="7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workbookViewId="0">
      <selection activeCell="O1" sqref="O1"/>
    </sheetView>
  </sheetViews>
  <sheetFormatPr defaultColWidth="9" defaultRowHeight="13.8"/>
  <cols>
    <col min="1" max="1" width="13" customWidth="1"/>
    <col min="2" max="2" width="36" customWidth="1"/>
    <col min="3" max="30" width="13" customWidth="1"/>
  </cols>
  <sheetData>
    <row r="1" ht="32" customHeight="1" spans="1:30">
      <c r="A1" s="15" t="s">
        <v>73</v>
      </c>
      <c r="B1" s="15" t="s">
        <v>74</v>
      </c>
      <c r="C1" s="15" t="s">
        <v>75</v>
      </c>
      <c r="D1" s="15" t="s">
        <v>76</v>
      </c>
      <c r="E1" s="15" t="s">
        <v>77</v>
      </c>
      <c r="F1" s="15" t="s">
        <v>78</v>
      </c>
      <c r="G1" s="15" t="s">
        <v>79</v>
      </c>
      <c r="H1" s="15" t="s">
        <v>80</v>
      </c>
      <c r="I1" s="15" t="s">
        <v>81</v>
      </c>
      <c r="J1" s="15" t="s">
        <v>82</v>
      </c>
      <c r="K1" s="15" t="s">
        <v>83</v>
      </c>
      <c r="L1" s="15" t="s">
        <v>84</v>
      </c>
      <c r="M1" s="15" t="s">
        <v>85</v>
      </c>
      <c r="N1" s="15" t="s">
        <v>86</v>
      </c>
      <c r="O1" s="15" t="s">
        <v>87</v>
      </c>
      <c r="P1" s="15" t="s">
        <v>88</v>
      </c>
      <c r="Q1" s="15" t="s">
        <v>89</v>
      </c>
      <c r="R1" s="15" t="s">
        <v>90</v>
      </c>
      <c r="S1" s="15" t="s">
        <v>91</v>
      </c>
      <c r="T1" s="15" t="s">
        <v>92</v>
      </c>
      <c r="U1" s="15" t="s">
        <v>93</v>
      </c>
      <c r="V1" s="15" t="s">
        <v>94</v>
      </c>
      <c r="W1" s="15" t="s">
        <v>95</v>
      </c>
      <c r="X1" s="15" t="s">
        <v>96</v>
      </c>
      <c r="Y1" s="15" t="s">
        <v>97</v>
      </c>
      <c r="Z1" s="15" t="s">
        <v>98</v>
      </c>
      <c r="AA1" s="15" t="s">
        <v>99</v>
      </c>
      <c r="AB1" s="15" t="s">
        <v>100</v>
      </c>
      <c r="AC1" s="15" t="s">
        <v>101</v>
      </c>
      <c r="AD1" s="15" t="s">
        <v>102</v>
      </c>
    </row>
    <row r="2" spans="1:30">
      <c r="A2">
        <v>1500</v>
      </c>
      <c r="B2" t="s">
        <v>103</v>
      </c>
      <c r="C2" s="7">
        <v>0.45</v>
      </c>
      <c r="D2" s="7">
        <v>0.45</v>
      </c>
      <c r="E2" s="7">
        <v>0.45</v>
      </c>
      <c r="F2" s="7">
        <v>0.45</v>
      </c>
      <c r="G2" s="7">
        <v>0.65</v>
      </c>
      <c r="H2" s="7">
        <v>0.45</v>
      </c>
      <c r="I2" s="7">
        <v>0.45</v>
      </c>
      <c r="J2" s="7">
        <v>0.45</v>
      </c>
      <c r="K2" s="7">
        <v>0.45</v>
      </c>
      <c r="L2" s="7">
        <v>0.45</v>
      </c>
      <c r="M2" s="7">
        <v>0.45</v>
      </c>
      <c r="N2" s="7">
        <v>0.55</v>
      </c>
      <c r="O2" s="7">
        <v>0.55</v>
      </c>
      <c r="P2" s="7">
        <v>0.45</v>
      </c>
      <c r="Q2" s="7">
        <v>0.45</v>
      </c>
      <c r="R2" s="7">
        <v>0.45</v>
      </c>
      <c r="S2" s="7">
        <v>0.45</v>
      </c>
      <c r="T2" s="7">
        <v>0.75</v>
      </c>
      <c r="U2" s="7">
        <v>0.45</v>
      </c>
      <c r="V2" s="7">
        <v>0.45</v>
      </c>
      <c r="W2" s="7">
        <v>0.6</v>
      </c>
      <c r="X2" s="7">
        <v>0.6</v>
      </c>
      <c r="Y2" s="7">
        <v>0.6</v>
      </c>
      <c r="Z2" s="7">
        <v>0.6</v>
      </c>
      <c r="AA2" s="7">
        <v>0.45</v>
      </c>
      <c r="AB2" s="7">
        <v>0.5</v>
      </c>
      <c r="AC2" s="7">
        <v>0.6</v>
      </c>
      <c r="AD2" s="7">
        <v>0.6</v>
      </c>
    </row>
    <row r="3" spans="1:30">
      <c r="A3">
        <v>5000</v>
      </c>
      <c r="B3" t="s">
        <v>104</v>
      </c>
      <c r="C3" s="7">
        <v>0.5</v>
      </c>
      <c r="D3" s="7">
        <v>0.5</v>
      </c>
      <c r="E3" s="7">
        <v>0.5</v>
      </c>
      <c r="F3" s="7">
        <v>0.5</v>
      </c>
      <c r="G3" s="7">
        <v>0.7</v>
      </c>
      <c r="H3" s="7">
        <v>0.5</v>
      </c>
      <c r="I3" s="7">
        <v>0.5</v>
      </c>
      <c r="J3" s="7">
        <v>0.5</v>
      </c>
      <c r="K3" s="7">
        <v>0.5</v>
      </c>
      <c r="L3" s="7">
        <v>0.5</v>
      </c>
      <c r="M3" s="7">
        <v>0.5</v>
      </c>
      <c r="N3" s="7">
        <v>0.6</v>
      </c>
      <c r="O3" s="7">
        <v>0.6</v>
      </c>
      <c r="P3" s="7">
        <v>0.5</v>
      </c>
      <c r="Q3" s="7">
        <v>0.5</v>
      </c>
      <c r="R3" s="7">
        <v>0.5</v>
      </c>
      <c r="S3" s="7">
        <v>0.5</v>
      </c>
      <c r="T3" s="7">
        <v>0.8</v>
      </c>
      <c r="U3" s="7">
        <v>0.5</v>
      </c>
      <c r="V3" s="7">
        <v>0.5</v>
      </c>
      <c r="W3" s="7">
        <v>0.6</v>
      </c>
      <c r="X3" s="7">
        <v>0.65</v>
      </c>
      <c r="Y3" s="7">
        <v>0.65</v>
      </c>
      <c r="Z3" s="7">
        <v>0.65</v>
      </c>
      <c r="AA3" s="7">
        <v>0.5</v>
      </c>
      <c r="AB3" s="7">
        <v>0.55</v>
      </c>
      <c r="AC3" s="7">
        <v>0.6</v>
      </c>
      <c r="AD3" s="7">
        <v>0.65</v>
      </c>
    </row>
    <row r="4" spans="1:30">
      <c r="A4">
        <v>10000</v>
      </c>
      <c r="B4" t="s">
        <v>105</v>
      </c>
      <c r="C4" s="7">
        <v>3.13</v>
      </c>
      <c r="D4" s="7">
        <v>3.03</v>
      </c>
      <c r="E4" s="7">
        <v>3.03</v>
      </c>
      <c r="F4" s="7">
        <v>3.03</v>
      </c>
      <c r="G4" s="7">
        <v>3.5</v>
      </c>
      <c r="H4" s="7">
        <v>3.1</v>
      </c>
      <c r="I4" s="7">
        <v>3.03</v>
      </c>
      <c r="J4" s="7">
        <v>3.09</v>
      </c>
      <c r="K4" s="7">
        <v>3.09</v>
      </c>
      <c r="L4" s="7">
        <v>4.06</v>
      </c>
      <c r="M4" s="7">
        <v>4.06</v>
      </c>
      <c r="N4" s="7">
        <v>3.16</v>
      </c>
      <c r="O4" s="7">
        <v>3.16</v>
      </c>
      <c r="P4" s="7">
        <v>3.06</v>
      </c>
      <c r="Q4" s="7">
        <v>3.06</v>
      </c>
      <c r="R4" s="7">
        <v>3.09</v>
      </c>
      <c r="S4" s="7">
        <v>3.09</v>
      </c>
      <c r="T4" s="7">
        <v>3.46</v>
      </c>
      <c r="U4" s="7">
        <v>3.16</v>
      </c>
      <c r="V4" s="7">
        <v>3.16</v>
      </c>
      <c r="W4" s="7">
        <v>3.16</v>
      </c>
      <c r="X4" s="7">
        <v>2.91</v>
      </c>
      <c r="Y4" s="7">
        <v>2.91</v>
      </c>
      <c r="Z4" s="7">
        <v>4.71</v>
      </c>
      <c r="AA4" s="7">
        <v>4.76</v>
      </c>
      <c r="AB4" s="7">
        <v>3.21</v>
      </c>
      <c r="AC4" s="7">
        <v>3.16</v>
      </c>
      <c r="AD4" s="7">
        <v>3.01</v>
      </c>
    </row>
    <row r="5" spans="1:30">
      <c r="A5">
        <v>15000</v>
      </c>
      <c r="B5" t="s">
        <v>106</v>
      </c>
      <c r="C5" s="7">
        <v>0.7</v>
      </c>
      <c r="D5" s="7">
        <v>0.7</v>
      </c>
      <c r="E5" s="7">
        <v>0.7</v>
      </c>
      <c r="F5" s="7">
        <v>0.7</v>
      </c>
      <c r="G5" s="7">
        <v>0.9</v>
      </c>
      <c r="H5" s="7">
        <v>0.8</v>
      </c>
      <c r="I5" s="7">
        <v>0.7</v>
      </c>
      <c r="J5" s="7">
        <v>0.7</v>
      </c>
      <c r="K5" s="7">
        <v>0.7</v>
      </c>
      <c r="L5" s="7">
        <v>0.7</v>
      </c>
      <c r="M5" s="7">
        <v>0.7</v>
      </c>
      <c r="N5" s="7">
        <v>0.8</v>
      </c>
      <c r="O5" s="7">
        <v>0.8</v>
      </c>
      <c r="P5" s="7">
        <v>0.7</v>
      </c>
      <c r="Q5" s="7">
        <v>0.7</v>
      </c>
      <c r="R5" s="7">
        <v>0.7</v>
      </c>
      <c r="S5" s="7">
        <v>0.7</v>
      </c>
      <c r="T5" s="7">
        <v>1</v>
      </c>
      <c r="U5" s="7">
        <v>0.7</v>
      </c>
      <c r="V5" s="7">
        <v>0.7</v>
      </c>
      <c r="W5" s="7">
        <v>0.8</v>
      </c>
      <c r="X5" s="7">
        <v>0.85</v>
      </c>
      <c r="Y5" s="7">
        <v>0.85</v>
      </c>
      <c r="Z5" s="7">
        <v>0.85</v>
      </c>
      <c r="AA5" s="7">
        <v>0.8</v>
      </c>
      <c r="AB5" s="7">
        <v>0.85</v>
      </c>
      <c r="AC5" s="7">
        <v>0.8</v>
      </c>
      <c r="AD5" s="7">
        <v>0.85</v>
      </c>
    </row>
    <row r="6" spans="1:30">
      <c r="A6">
        <v>20000</v>
      </c>
      <c r="B6" t="s">
        <v>107</v>
      </c>
      <c r="C6" s="7">
        <v>4.63</v>
      </c>
      <c r="D6" s="7">
        <v>3.53</v>
      </c>
      <c r="E6" s="7">
        <v>3.53</v>
      </c>
      <c r="F6" s="7">
        <v>3.53</v>
      </c>
      <c r="G6" s="7">
        <v>2.9</v>
      </c>
      <c r="H6" s="7">
        <v>3.8</v>
      </c>
      <c r="I6" s="7">
        <v>3.53</v>
      </c>
      <c r="J6" s="7">
        <v>3.79</v>
      </c>
      <c r="K6" s="7">
        <v>3.79</v>
      </c>
      <c r="L6" s="7">
        <v>4.96</v>
      </c>
      <c r="M6" s="7">
        <v>4.96</v>
      </c>
      <c r="N6" s="7">
        <v>3.26</v>
      </c>
      <c r="O6" s="7">
        <v>3.26</v>
      </c>
      <c r="P6" s="7">
        <v>3.86</v>
      </c>
      <c r="Q6" s="7">
        <v>3.86</v>
      </c>
      <c r="R6" s="7">
        <v>3.89</v>
      </c>
      <c r="S6" s="7">
        <v>3.89</v>
      </c>
      <c r="T6" s="7">
        <v>3.56</v>
      </c>
      <c r="U6" s="7">
        <v>3.76</v>
      </c>
      <c r="V6" s="7">
        <v>3.76</v>
      </c>
      <c r="W6" s="7">
        <v>4.16</v>
      </c>
      <c r="X6" s="7">
        <v>3.91</v>
      </c>
      <c r="Y6" s="7">
        <v>3.91</v>
      </c>
      <c r="Z6" s="7">
        <v>6.46</v>
      </c>
      <c r="AA6" s="7">
        <v>5.46</v>
      </c>
      <c r="AB6" s="7">
        <v>3.31</v>
      </c>
      <c r="AC6" s="7">
        <v>5.16</v>
      </c>
      <c r="AD6" s="7">
        <v>5.21</v>
      </c>
    </row>
    <row r="7" spans="1:30">
      <c r="A7">
        <v>25000</v>
      </c>
      <c r="B7" t="s">
        <v>108</v>
      </c>
      <c r="C7" s="7">
        <v>0.7</v>
      </c>
      <c r="D7" s="7">
        <v>1.2</v>
      </c>
      <c r="E7" s="7">
        <v>1.2</v>
      </c>
      <c r="F7" s="7">
        <v>1.2</v>
      </c>
      <c r="G7" s="7">
        <v>0.9</v>
      </c>
      <c r="H7" s="7">
        <v>0.7</v>
      </c>
      <c r="I7" s="7">
        <v>1.2</v>
      </c>
      <c r="J7" s="7">
        <v>1.2</v>
      </c>
      <c r="K7" s="7">
        <v>1.2</v>
      </c>
      <c r="L7" s="7">
        <v>1.2</v>
      </c>
      <c r="M7" s="7">
        <v>1.2</v>
      </c>
      <c r="N7" s="7">
        <v>1.3</v>
      </c>
      <c r="O7" s="7">
        <v>1.3</v>
      </c>
      <c r="P7" s="7">
        <v>1.2</v>
      </c>
      <c r="Q7" s="7">
        <v>1.2</v>
      </c>
      <c r="R7" s="7">
        <v>1.2</v>
      </c>
      <c r="S7" s="7">
        <v>1.2</v>
      </c>
      <c r="T7" s="7">
        <v>1.5</v>
      </c>
      <c r="U7" s="7">
        <v>1.2</v>
      </c>
      <c r="V7" s="7">
        <v>1.2</v>
      </c>
      <c r="W7" s="7">
        <v>1.3</v>
      </c>
      <c r="X7" s="7">
        <v>1.35</v>
      </c>
      <c r="Y7" s="7">
        <v>1.35</v>
      </c>
      <c r="Z7" s="7">
        <v>1.3</v>
      </c>
      <c r="AA7" s="7">
        <v>1.2</v>
      </c>
      <c r="AB7" s="7">
        <v>1.25</v>
      </c>
      <c r="AC7" s="7">
        <v>1.3</v>
      </c>
      <c r="AD7" s="7">
        <v>1.35</v>
      </c>
    </row>
    <row r="8" spans="1:30">
      <c r="A8">
        <v>30000</v>
      </c>
      <c r="B8" t="s">
        <v>109</v>
      </c>
      <c r="C8" s="7">
        <v>3.83</v>
      </c>
      <c r="D8" s="7">
        <v>4.23</v>
      </c>
      <c r="E8" s="7">
        <v>4.23</v>
      </c>
      <c r="F8" s="7">
        <v>4.23</v>
      </c>
      <c r="G8" s="7">
        <v>4.2</v>
      </c>
      <c r="H8" s="7">
        <v>4.1</v>
      </c>
      <c r="I8" s="7">
        <v>4.23</v>
      </c>
      <c r="J8" s="7">
        <v>4.29</v>
      </c>
      <c r="K8" s="7">
        <v>4.29</v>
      </c>
      <c r="L8" s="7">
        <v>5.26</v>
      </c>
      <c r="M8" s="7">
        <v>5.26</v>
      </c>
      <c r="N8" s="7">
        <v>3.86</v>
      </c>
      <c r="O8" s="7">
        <v>3.86</v>
      </c>
      <c r="P8" s="7">
        <v>4.26</v>
      </c>
      <c r="Q8" s="7">
        <v>4.26</v>
      </c>
      <c r="R8" s="7">
        <v>4.29</v>
      </c>
      <c r="S8" s="7">
        <v>4.29</v>
      </c>
      <c r="T8" s="7">
        <v>4.16</v>
      </c>
      <c r="U8" s="7">
        <v>4.06</v>
      </c>
      <c r="V8" s="7">
        <v>4.06</v>
      </c>
      <c r="W8" s="7">
        <v>3.86</v>
      </c>
      <c r="X8" s="7">
        <v>3.61</v>
      </c>
      <c r="Y8" s="7">
        <v>3.61</v>
      </c>
      <c r="Z8" s="7">
        <v>5.86</v>
      </c>
      <c r="AA8" s="7">
        <v>6.06</v>
      </c>
      <c r="AB8" s="7">
        <v>4.01</v>
      </c>
      <c r="AC8" s="7">
        <v>3.86</v>
      </c>
      <c r="AD8" s="7">
        <v>3.91</v>
      </c>
    </row>
    <row r="9" spans="1:30">
      <c r="A9">
        <v>35000</v>
      </c>
      <c r="B9" t="s">
        <v>110</v>
      </c>
      <c r="C9" s="7">
        <v>0.5</v>
      </c>
      <c r="D9" s="7">
        <v>0.5</v>
      </c>
      <c r="E9" s="7">
        <v>0.5</v>
      </c>
      <c r="F9" s="7">
        <v>0.5</v>
      </c>
      <c r="G9" s="7">
        <v>0.7</v>
      </c>
      <c r="H9" s="7">
        <v>0.5</v>
      </c>
      <c r="I9" s="7">
        <v>0.5</v>
      </c>
      <c r="J9" s="7">
        <v>0.5</v>
      </c>
      <c r="K9" s="7">
        <v>0.5</v>
      </c>
      <c r="L9" s="7">
        <v>0.5</v>
      </c>
      <c r="M9" s="7">
        <v>0.5</v>
      </c>
      <c r="N9" s="7">
        <v>0.6</v>
      </c>
      <c r="O9" s="7">
        <v>0.6</v>
      </c>
      <c r="P9" s="7">
        <v>0.5</v>
      </c>
      <c r="Q9" s="7">
        <v>0.5</v>
      </c>
      <c r="R9" s="7">
        <v>0.5</v>
      </c>
      <c r="S9" s="7">
        <v>0.5</v>
      </c>
      <c r="T9" s="7">
        <v>0.8</v>
      </c>
      <c r="U9" s="7">
        <v>0.5</v>
      </c>
      <c r="V9" s="7">
        <v>0.5</v>
      </c>
      <c r="W9" s="7">
        <v>0.6</v>
      </c>
      <c r="X9" s="7">
        <v>0.65</v>
      </c>
      <c r="Y9" s="7">
        <v>0.65</v>
      </c>
      <c r="Z9" s="7">
        <v>0.6</v>
      </c>
      <c r="AA9" s="7">
        <v>0.5</v>
      </c>
      <c r="AB9" s="7">
        <v>0.55</v>
      </c>
      <c r="AC9" s="7">
        <v>0.6</v>
      </c>
      <c r="AD9" s="7">
        <v>0.65</v>
      </c>
    </row>
    <row r="10" spans="1:30">
      <c r="A10">
        <v>40000</v>
      </c>
      <c r="B10" t="s">
        <v>111</v>
      </c>
      <c r="C10" s="7">
        <v>4.63</v>
      </c>
      <c r="D10" s="7">
        <v>3.53</v>
      </c>
      <c r="E10" s="7">
        <v>3.53</v>
      </c>
      <c r="F10" s="7">
        <v>3.53</v>
      </c>
      <c r="G10" s="7">
        <v>2.9</v>
      </c>
      <c r="H10" s="7">
        <v>3.8</v>
      </c>
      <c r="I10" s="7">
        <v>3.53</v>
      </c>
      <c r="J10" s="7">
        <v>3.79</v>
      </c>
      <c r="K10" s="7">
        <v>3.79</v>
      </c>
      <c r="L10" s="7">
        <v>4.96</v>
      </c>
      <c r="M10" s="7">
        <v>4.96</v>
      </c>
      <c r="N10" s="7">
        <v>4.66</v>
      </c>
      <c r="O10" s="7">
        <v>4.66</v>
      </c>
      <c r="P10" s="7">
        <v>3.86</v>
      </c>
      <c r="Q10" s="7">
        <v>3.86</v>
      </c>
      <c r="R10" s="7">
        <v>3.89</v>
      </c>
      <c r="S10" s="7">
        <v>3.89</v>
      </c>
      <c r="T10" s="7">
        <v>4.76</v>
      </c>
      <c r="U10" s="7">
        <v>3.76</v>
      </c>
      <c r="V10" s="7">
        <v>3.76</v>
      </c>
      <c r="W10" s="7">
        <v>5.36</v>
      </c>
      <c r="X10" s="7">
        <v>5.11</v>
      </c>
      <c r="Y10" s="7">
        <v>5.11</v>
      </c>
      <c r="Z10" s="7">
        <v>6.46</v>
      </c>
      <c r="AA10" s="7">
        <v>5.46</v>
      </c>
      <c r="AB10" s="7">
        <v>5.21</v>
      </c>
      <c r="AC10" s="7">
        <v>6.06</v>
      </c>
      <c r="AD10" s="7">
        <v>6.11</v>
      </c>
    </row>
    <row r="11" spans="1:30">
      <c r="A11">
        <v>45000</v>
      </c>
      <c r="B11" t="s">
        <v>112</v>
      </c>
      <c r="C11" s="7">
        <v>0.7</v>
      </c>
      <c r="D11" s="7">
        <v>0.7</v>
      </c>
      <c r="E11" s="7">
        <v>0.7</v>
      </c>
      <c r="F11" s="7">
        <v>0.7</v>
      </c>
      <c r="G11" s="7">
        <v>0.9</v>
      </c>
      <c r="H11" s="7">
        <v>0.8</v>
      </c>
      <c r="I11" s="7">
        <v>0.7</v>
      </c>
      <c r="J11" s="7">
        <v>0.7</v>
      </c>
      <c r="K11" s="7">
        <v>0.7</v>
      </c>
      <c r="L11" s="7">
        <v>0.7</v>
      </c>
      <c r="M11" s="7">
        <v>0.7</v>
      </c>
      <c r="N11" s="7">
        <v>0.8</v>
      </c>
      <c r="O11" s="7">
        <v>0.8</v>
      </c>
      <c r="P11" s="7">
        <v>0.7</v>
      </c>
      <c r="Q11" s="7">
        <v>0.7</v>
      </c>
      <c r="R11" s="7">
        <v>0.7</v>
      </c>
      <c r="S11" s="7">
        <v>0.7</v>
      </c>
      <c r="T11" s="7">
        <v>1</v>
      </c>
      <c r="U11" s="7">
        <v>0.7</v>
      </c>
      <c r="V11" s="7">
        <v>0.7</v>
      </c>
      <c r="W11" s="7">
        <v>0.8</v>
      </c>
      <c r="X11" s="7">
        <v>0.85</v>
      </c>
      <c r="Y11" s="7">
        <v>0.85</v>
      </c>
      <c r="Z11" s="7">
        <v>0.8</v>
      </c>
      <c r="AA11" s="7">
        <v>0.8</v>
      </c>
      <c r="AB11" s="7">
        <v>0.85</v>
      </c>
      <c r="AC11" s="7">
        <v>0.8</v>
      </c>
      <c r="AD11" s="7">
        <v>0.85</v>
      </c>
    </row>
    <row r="12" spans="1:30">
      <c r="A12">
        <v>50000</v>
      </c>
      <c r="B12" t="s">
        <v>113</v>
      </c>
      <c r="C12" s="7">
        <v>3.33</v>
      </c>
      <c r="D12" s="7">
        <v>3.73</v>
      </c>
      <c r="E12" s="7">
        <v>3.73</v>
      </c>
      <c r="F12" s="7">
        <v>3.73</v>
      </c>
      <c r="G12" s="7">
        <v>3.7</v>
      </c>
      <c r="H12" s="7">
        <v>3.3</v>
      </c>
      <c r="I12" s="7">
        <v>3.73</v>
      </c>
      <c r="J12" s="7">
        <v>3.79</v>
      </c>
      <c r="K12" s="7">
        <v>3.79</v>
      </c>
      <c r="L12" s="7">
        <v>4.76</v>
      </c>
      <c r="M12" s="7">
        <v>4.76</v>
      </c>
      <c r="N12" s="7">
        <v>3.86</v>
      </c>
      <c r="O12" s="7">
        <v>3.86</v>
      </c>
      <c r="P12" s="7">
        <v>3.76</v>
      </c>
      <c r="Q12" s="7">
        <v>3.76</v>
      </c>
      <c r="R12" s="7">
        <v>3.79</v>
      </c>
      <c r="S12" s="7">
        <v>3.79</v>
      </c>
      <c r="T12" s="7">
        <v>4.16</v>
      </c>
      <c r="U12" s="7">
        <v>3.86</v>
      </c>
      <c r="V12" s="7">
        <v>3.86</v>
      </c>
      <c r="W12" s="7">
        <v>3.86</v>
      </c>
      <c r="X12" s="7">
        <v>3.61</v>
      </c>
      <c r="Y12" s="7">
        <v>3.61</v>
      </c>
      <c r="Z12" s="7">
        <v>5.36</v>
      </c>
      <c r="AA12" s="7">
        <v>5.46</v>
      </c>
      <c r="AB12" s="7">
        <v>3.91</v>
      </c>
      <c r="AC12" s="7">
        <v>3.86</v>
      </c>
      <c r="AD12" s="7">
        <v>3.91</v>
      </c>
    </row>
    <row r="13" spans="1:30">
      <c r="A13">
        <v>55000</v>
      </c>
      <c r="B13" t="s">
        <v>114</v>
      </c>
      <c r="C13" s="7">
        <v>0.5</v>
      </c>
      <c r="D13" s="7">
        <v>0.5</v>
      </c>
      <c r="E13" s="7">
        <v>0.5</v>
      </c>
      <c r="F13" s="7">
        <v>0.5</v>
      </c>
      <c r="G13" s="7">
        <v>0.7</v>
      </c>
      <c r="H13" s="7">
        <v>0.5</v>
      </c>
      <c r="I13" s="7">
        <v>0.5</v>
      </c>
      <c r="J13" s="7">
        <v>0.5</v>
      </c>
      <c r="K13" s="7">
        <v>0.5</v>
      </c>
      <c r="L13" s="7">
        <v>0.5</v>
      </c>
      <c r="M13" s="7">
        <v>0.5</v>
      </c>
      <c r="N13" s="7">
        <v>0.6</v>
      </c>
      <c r="O13" s="7">
        <v>0.6</v>
      </c>
      <c r="P13" s="7">
        <v>0.5</v>
      </c>
      <c r="Q13" s="7">
        <v>0.5</v>
      </c>
      <c r="R13" s="7">
        <v>0.5</v>
      </c>
      <c r="S13" s="7">
        <v>0.5</v>
      </c>
      <c r="T13" s="7">
        <v>0.8</v>
      </c>
      <c r="U13" s="7">
        <v>0.5</v>
      </c>
      <c r="V13" s="7">
        <v>0.5</v>
      </c>
      <c r="W13" s="7">
        <v>0.6</v>
      </c>
      <c r="X13" s="7">
        <v>0.65</v>
      </c>
      <c r="Y13" s="7">
        <v>0.65</v>
      </c>
      <c r="Z13" s="7">
        <v>0.6</v>
      </c>
      <c r="AA13" s="7">
        <v>0.5</v>
      </c>
      <c r="AB13" s="7">
        <v>0.55</v>
      </c>
      <c r="AC13" s="7">
        <v>0.6</v>
      </c>
      <c r="AD13" s="7">
        <v>0.65</v>
      </c>
    </row>
    <row r="14" spans="1:30">
      <c r="A14">
        <v>60000</v>
      </c>
      <c r="B14" t="s">
        <v>115</v>
      </c>
      <c r="C14" s="7">
        <v>8.13</v>
      </c>
      <c r="D14" s="7">
        <v>7.83</v>
      </c>
      <c r="E14" s="7">
        <v>7.63</v>
      </c>
      <c r="F14" s="7">
        <v>7.73</v>
      </c>
      <c r="G14" s="7">
        <v>5.7</v>
      </c>
      <c r="H14" s="7">
        <v>8.6</v>
      </c>
      <c r="I14" s="7">
        <v>7.83</v>
      </c>
      <c r="J14" s="7">
        <v>8.29</v>
      </c>
      <c r="K14" s="7">
        <v>8.29</v>
      </c>
      <c r="L14" s="7">
        <v>10.26</v>
      </c>
      <c r="M14" s="7">
        <v>10.26</v>
      </c>
      <c r="N14" s="7">
        <v>8.06</v>
      </c>
      <c r="O14" s="7">
        <v>8.06</v>
      </c>
      <c r="P14" s="7">
        <v>6.96</v>
      </c>
      <c r="Q14" s="7">
        <v>6.96</v>
      </c>
      <c r="R14" s="7">
        <v>8.19</v>
      </c>
      <c r="S14" s="7">
        <v>8.19</v>
      </c>
      <c r="T14" s="7">
        <v>10.96</v>
      </c>
      <c r="U14" s="7">
        <v>6.46</v>
      </c>
      <c r="V14" s="7">
        <v>6.46</v>
      </c>
      <c r="W14" s="7">
        <v>8.36</v>
      </c>
      <c r="X14" s="7">
        <v>8.21</v>
      </c>
      <c r="Y14" s="7">
        <v>8.21</v>
      </c>
      <c r="Z14" s="7">
        <v>12.16</v>
      </c>
      <c r="AA14" s="7">
        <v>7.86</v>
      </c>
      <c r="AB14" s="7">
        <v>5.61</v>
      </c>
      <c r="AC14" s="7">
        <v>8.66</v>
      </c>
      <c r="AD14" s="7">
        <v>8.71</v>
      </c>
    </row>
    <row r="15" spans="1:30">
      <c r="A15">
        <v>65000</v>
      </c>
      <c r="B15" t="s">
        <v>116</v>
      </c>
      <c r="C15" s="7">
        <v>0.5</v>
      </c>
      <c r="D15" s="7">
        <v>0.5</v>
      </c>
      <c r="E15" s="7">
        <v>0.5</v>
      </c>
      <c r="F15" s="7">
        <v>0.5</v>
      </c>
      <c r="G15" s="7">
        <v>0.7</v>
      </c>
      <c r="H15" s="7">
        <v>0.5</v>
      </c>
      <c r="I15" s="7">
        <v>0.5</v>
      </c>
      <c r="J15" s="7">
        <v>0.5</v>
      </c>
      <c r="K15" s="7">
        <v>0.5</v>
      </c>
      <c r="L15" s="7">
        <v>0.5</v>
      </c>
      <c r="M15" s="7">
        <v>0.5</v>
      </c>
      <c r="N15" s="7">
        <v>0.6</v>
      </c>
      <c r="O15" s="7">
        <v>0.6</v>
      </c>
      <c r="P15" s="7">
        <v>0.5</v>
      </c>
      <c r="Q15" s="7">
        <v>0.5</v>
      </c>
      <c r="R15" s="7">
        <v>0.5</v>
      </c>
      <c r="S15" s="7">
        <v>0.5</v>
      </c>
      <c r="T15" s="7">
        <v>0.8</v>
      </c>
      <c r="U15" s="7">
        <v>0.5</v>
      </c>
      <c r="V15" s="7">
        <v>0.5</v>
      </c>
      <c r="W15" s="7">
        <v>0.6</v>
      </c>
      <c r="X15" s="7">
        <v>0.65</v>
      </c>
      <c r="Y15" s="7">
        <v>0.65</v>
      </c>
      <c r="Z15" s="7">
        <v>0.6</v>
      </c>
      <c r="AA15" s="7">
        <v>0.5</v>
      </c>
      <c r="AB15" s="7">
        <v>0.55</v>
      </c>
      <c r="AC15" s="7">
        <v>0.6</v>
      </c>
      <c r="AD15" s="7">
        <v>0.65</v>
      </c>
    </row>
    <row r="16" spans="1:30">
      <c r="A16">
        <v>70000</v>
      </c>
      <c r="B16" t="s">
        <v>117</v>
      </c>
      <c r="C16" s="7">
        <v>3.13</v>
      </c>
      <c r="D16" s="7">
        <v>3.03</v>
      </c>
      <c r="E16" s="7">
        <v>3.03</v>
      </c>
      <c r="F16" s="7">
        <v>3.03</v>
      </c>
      <c r="G16" s="7">
        <v>3.5</v>
      </c>
      <c r="H16" s="7">
        <v>3.1</v>
      </c>
      <c r="I16" s="7">
        <v>3.03</v>
      </c>
      <c r="J16" s="7">
        <v>3.09</v>
      </c>
      <c r="K16" s="7">
        <v>3.09</v>
      </c>
      <c r="L16" s="7">
        <v>4.06</v>
      </c>
      <c r="M16" s="7">
        <v>4.06</v>
      </c>
      <c r="N16" s="7">
        <v>3.16</v>
      </c>
      <c r="O16" s="7">
        <v>3.16</v>
      </c>
      <c r="P16" s="7">
        <v>3.06</v>
      </c>
      <c r="Q16" s="7">
        <v>3.06</v>
      </c>
      <c r="R16" s="7">
        <v>3.09</v>
      </c>
      <c r="S16" s="7">
        <v>3.09</v>
      </c>
      <c r="T16" s="7">
        <v>3.46</v>
      </c>
      <c r="U16" s="7">
        <v>3.16</v>
      </c>
      <c r="V16" s="7">
        <v>3.16</v>
      </c>
      <c r="W16" s="7">
        <v>3.16</v>
      </c>
      <c r="X16" s="7">
        <v>2.91</v>
      </c>
      <c r="Y16" s="7">
        <v>2.91</v>
      </c>
      <c r="Z16" s="7">
        <v>4.66</v>
      </c>
      <c r="AA16" s="7">
        <v>4.76</v>
      </c>
      <c r="AB16" s="7">
        <v>3.21</v>
      </c>
      <c r="AC16" s="7">
        <v>3.16</v>
      </c>
      <c r="AD16" s="7">
        <v>3.21</v>
      </c>
    </row>
    <row r="17" spans="1:30">
      <c r="A17">
        <v>75000</v>
      </c>
      <c r="B17" t="s">
        <v>118</v>
      </c>
      <c r="C17" s="7">
        <v>0.9</v>
      </c>
      <c r="D17" s="7">
        <v>1.4</v>
      </c>
      <c r="E17" s="7">
        <v>1.4</v>
      </c>
      <c r="F17" s="7">
        <v>1.4</v>
      </c>
      <c r="G17" s="7">
        <v>1.1</v>
      </c>
      <c r="H17" s="7">
        <v>1</v>
      </c>
      <c r="I17" s="7">
        <v>1.4</v>
      </c>
      <c r="J17" s="7">
        <v>1.4</v>
      </c>
      <c r="K17" s="7">
        <v>1.4</v>
      </c>
      <c r="L17" s="7">
        <v>1.4</v>
      </c>
      <c r="M17" s="7">
        <v>1.4</v>
      </c>
      <c r="N17" s="7">
        <v>1.5</v>
      </c>
      <c r="O17" s="7">
        <v>1.5</v>
      </c>
      <c r="P17" s="7">
        <v>1.4</v>
      </c>
      <c r="Q17" s="7">
        <v>1.4</v>
      </c>
      <c r="R17" s="7">
        <v>1.4</v>
      </c>
      <c r="S17" s="7">
        <v>1.4</v>
      </c>
      <c r="T17" s="7">
        <v>1.7</v>
      </c>
      <c r="U17" s="7">
        <v>1.4</v>
      </c>
      <c r="V17" s="7">
        <v>1.4</v>
      </c>
      <c r="W17" s="7">
        <v>1.5</v>
      </c>
      <c r="X17" s="7">
        <v>1.55</v>
      </c>
      <c r="Y17" s="7">
        <v>1.55</v>
      </c>
      <c r="Z17" s="7">
        <v>1.5</v>
      </c>
      <c r="AA17" s="7">
        <v>1.5</v>
      </c>
      <c r="AB17" s="7">
        <v>1.55</v>
      </c>
      <c r="AC17" s="7">
        <v>1.5</v>
      </c>
      <c r="AD17" s="7">
        <v>1.55</v>
      </c>
    </row>
    <row r="18" spans="1:30">
      <c r="A18">
        <v>80000</v>
      </c>
      <c r="B18" t="s">
        <v>119</v>
      </c>
      <c r="C18" s="7">
        <v>4.63</v>
      </c>
      <c r="D18" s="7">
        <v>3.53</v>
      </c>
      <c r="E18" s="7">
        <v>3.53</v>
      </c>
      <c r="F18" s="7">
        <v>3.53</v>
      </c>
      <c r="G18" s="7">
        <v>2.9</v>
      </c>
      <c r="H18" s="7">
        <v>3.8</v>
      </c>
      <c r="I18" s="7">
        <v>3.53</v>
      </c>
      <c r="J18" s="7">
        <v>3.79</v>
      </c>
      <c r="K18" s="7">
        <v>3.79</v>
      </c>
      <c r="L18" s="7">
        <v>4.96</v>
      </c>
      <c r="M18" s="7">
        <v>4.96</v>
      </c>
      <c r="N18" s="7">
        <v>4.66</v>
      </c>
      <c r="O18" s="7">
        <v>4.66</v>
      </c>
      <c r="P18" s="7">
        <v>3.86</v>
      </c>
      <c r="Q18" s="7">
        <v>3.86</v>
      </c>
      <c r="R18" s="7">
        <v>3.89</v>
      </c>
      <c r="S18" s="7">
        <v>3.89</v>
      </c>
      <c r="T18" s="7">
        <v>4.76</v>
      </c>
      <c r="U18" s="7">
        <v>3.76</v>
      </c>
      <c r="V18" s="7">
        <v>3.76</v>
      </c>
      <c r="W18" s="7">
        <v>5.36</v>
      </c>
      <c r="X18" s="7">
        <v>5.11</v>
      </c>
      <c r="Y18" s="7">
        <v>5.11</v>
      </c>
      <c r="Z18" s="7">
        <v>5.26</v>
      </c>
      <c r="AA18" s="7">
        <v>5.46</v>
      </c>
      <c r="AB18" s="7">
        <v>5.21</v>
      </c>
      <c r="AC18" s="7">
        <v>6.06</v>
      </c>
      <c r="AD18" s="7">
        <v>6.11</v>
      </c>
    </row>
    <row r="19" spans="1:30">
      <c r="A19">
        <v>85000</v>
      </c>
      <c r="B19" t="s">
        <v>120</v>
      </c>
      <c r="C19" s="7">
        <v>0.5</v>
      </c>
      <c r="D19" s="7">
        <v>0.5</v>
      </c>
      <c r="E19" s="7">
        <v>0.5</v>
      </c>
      <c r="F19" s="7">
        <v>0.5</v>
      </c>
      <c r="G19" s="7">
        <v>0.7</v>
      </c>
      <c r="H19" s="7">
        <v>0.5</v>
      </c>
      <c r="I19" s="7">
        <v>0.5</v>
      </c>
      <c r="J19" s="7">
        <v>0.5</v>
      </c>
      <c r="K19" s="7">
        <v>0.5</v>
      </c>
      <c r="L19" s="7">
        <v>0.5</v>
      </c>
      <c r="M19" s="7">
        <v>0.5</v>
      </c>
      <c r="N19" s="7">
        <v>0.6</v>
      </c>
      <c r="O19" s="7">
        <v>0.6</v>
      </c>
      <c r="P19" s="7">
        <v>0.5</v>
      </c>
      <c r="Q19" s="7">
        <v>0.5</v>
      </c>
      <c r="R19" s="7">
        <v>0.5</v>
      </c>
      <c r="S19" s="7">
        <v>0.5</v>
      </c>
      <c r="T19" s="7">
        <v>0.8</v>
      </c>
      <c r="U19" s="7">
        <v>0.5</v>
      </c>
      <c r="V19" s="7">
        <v>0.5</v>
      </c>
      <c r="W19" s="7">
        <v>0.6</v>
      </c>
      <c r="X19" s="7">
        <v>0.65</v>
      </c>
      <c r="Y19" s="7">
        <v>0.65</v>
      </c>
      <c r="Z19" s="7">
        <v>0.6</v>
      </c>
      <c r="AA19" s="7">
        <v>0.5</v>
      </c>
      <c r="AB19" s="7">
        <v>0.55</v>
      </c>
      <c r="AC19" s="7">
        <v>0.6</v>
      </c>
      <c r="AD19" s="7">
        <v>0.65</v>
      </c>
    </row>
    <row r="20" spans="1:30">
      <c r="A20">
        <v>90000</v>
      </c>
      <c r="B20" t="s">
        <v>121</v>
      </c>
      <c r="C20" s="7">
        <v>4.73</v>
      </c>
      <c r="D20" s="7">
        <v>5.33</v>
      </c>
      <c r="E20" s="7">
        <v>5.33</v>
      </c>
      <c r="F20" s="7">
        <v>5.23</v>
      </c>
      <c r="G20" s="7">
        <v>5.2</v>
      </c>
      <c r="H20" s="7">
        <v>5.9</v>
      </c>
      <c r="I20" s="7">
        <v>5.33</v>
      </c>
      <c r="J20" s="7">
        <v>5.39</v>
      </c>
      <c r="K20" s="7">
        <v>5.39</v>
      </c>
      <c r="L20" s="7">
        <v>6.76</v>
      </c>
      <c r="M20" s="7">
        <v>6.76</v>
      </c>
      <c r="N20" s="7">
        <v>5.36</v>
      </c>
      <c r="O20" s="7">
        <v>5.36</v>
      </c>
      <c r="P20" s="7">
        <v>5.86</v>
      </c>
      <c r="Q20" s="7">
        <v>5.86</v>
      </c>
      <c r="R20" s="7">
        <v>5.39</v>
      </c>
      <c r="S20" s="7">
        <v>5.39</v>
      </c>
      <c r="T20" s="7">
        <v>5.86</v>
      </c>
      <c r="U20" s="7">
        <v>5.66</v>
      </c>
      <c r="V20" s="7">
        <v>5.66</v>
      </c>
      <c r="W20" s="7">
        <v>4.96</v>
      </c>
      <c r="X20" s="7">
        <v>4.71</v>
      </c>
      <c r="Y20" s="7">
        <v>4.71</v>
      </c>
      <c r="Z20" s="7">
        <v>6.96</v>
      </c>
      <c r="AA20" s="7">
        <v>7.16</v>
      </c>
      <c r="AB20" s="7">
        <v>5.51</v>
      </c>
      <c r="AC20" s="7">
        <v>4.96</v>
      </c>
      <c r="AD20" s="7">
        <v>5.01</v>
      </c>
    </row>
    <row r="21" spans="1:30">
      <c r="A21">
        <v>95000</v>
      </c>
      <c r="B21" t="s">
        <v>122</v>
      </c>
      <c r="C21" s="7">
        <v>0.5</v>
      </c>
      <c r="D21" s="7">
        <v>0.5</v>
      </c>
      <c r="E21" s="7">
        <v>0.5</v>
      </c>
      <c r="F21" s="7">
        <v>0.5</v>
      </c>
      <c r="G21" s="7">
        <v>0.7</v>
      </c>
      <c r="H21" s="7">
        <v>0.5</v>
      </c>
      <c r="I21" s="7">
        <v>0.5</v>
      </c>
      <c r="J21" s="7">
        <v>0.5</v>
      </c>
      <c r="K21" s="7">
        <v>0.5</v>
      </c>
      <c r="L21" s="7">
        <v>0.5</v>
      </c>
      <c r="M21" s="7">
        <v>0.5</v>
      </c>
      <c r="N21" s="7">
        <v>0.6</v>
      </c>
      <c r="O21" s="7">
        <v>0.6</v>
      </c>
      <c r="P21" s="7">
        <v>0.5</v>
      </c>
      <c r="Q21" s="7">
        <v>0.5</v>
      </c>
      <c r="R21" s="7">
        <v>0.5</v>
      </c>
      <c r="S21" s="7">
        <v>0.5</v>
      </c>
      <c r="T21" s="7">
        <v>0.8</v>
      </c>
      <c r="U21" s="7">
        <v>0.5</v>
      </c>
      <c r="V21" s="7">
        <v>0.5</v>
      </c>
      <c r="W21" s="7">
        <v>0.6</v>
      </c>
      <c r="X21" s="7">
        <v>0.65</v>
      </c>
      <c r="Y21" s="7">
        <v>0.65</v>
      </c>
      <c r="Z21" s="7">
        <v>0.6</v>
      </c>
      <c r="AA21" s="7">
        <v>0.5</v>
      </c>
      <c r="AB21" s="7">
        <v>0.55</v>
      </c>
      <c r="AC21" s="7">
        <v>0.6</v>
      </c>
      <c r="AD21" s="7">
        <v>0.65</v>
      </c>
    </row>
    <row r="22" spans="1:30">
      <c r="A22">
        <v>1000000</v>
      </c>
      <c r="B22" t="s">
        <v>123</v>
      </c>
      <c r="C22" s="7">
        <v>4.83</v>
      </c>
      <c r="D22" s="7">
        <v>3.73</v>
      </c>
      <c r="E22" s="7">
        <v>4.23</v>
      </c>
      <c r="F22" s="7">
        <v>4.23</v>
      </c>
      <c r="G22" s="7">
        <v>3.1</v>
      </c>
      <c r="H22" s="7">
        <v>4</v>
      </c>
      <c r="I22" s="7">
        <v>4.23</v>
      </c>
      <c r="J22" s="7">
        <v>4.49</v>
      </c>
      <c r="K22" s="7">
        <v>4.49</v>
      </c>
      <c r="L22" s="7">
        <v>5.66</v>
      </c>
      <c r="M22" s="7">
        <v>5.66</v>
      </c>
      <c r="N22" s="7">
        <v>3.96</v>
      </c>
      <c r="O22" s="7">
        <v>3.96</v>
      </c>
      <c r="P22" s="7">
        <v>4.56</v>
      </c>
      <c r="Q22" s="7">
        <v>4.56</v>
      </c>
      <c r="R22" s="7">
        <v>4.59</v>
      </c>
      <c r="S22" s="7">
        <v>4.59</v>
      </c>
      <c r="T22" s="7">
        <v>4.26</v>
      </c>
      <c r="U22" s="7">
        <v>4.46</v>
      </c>
      <c r="V22" s="7">
        <v>4.46</v>
      </c>
      <c r="W22" s="7">
        <v>4.86</v>
      </c>
      <c r="X22" s="7">
        <v>4.61</v>
      </c>
      <c r="Y22" s="7">
        <v>4.61</v>
      </c>
      <c r="Z22" s="7">
        <v>7.16</v>
      </c>
      <c r="AA22" s="7">
        <v>6.16</v>
      </c>
      <c r="AB22" s="7">
        <v>4.01</v>
      </c>
      <c r="AC22" s="7">
        <v>5.86</v>
      </c>
      <c r="AD22" s="7">
        <v>5.91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F10" sqref="F10"/>
    </sheetView>
  </sheetViews>
  <sheetFormatPr defaultColWidth="9" defaultRowHeight="13.8" outlineLevelCol="2"/>
  <cols>
    <col min="1" max="1" width="23.7" customWidth="1"/>
    <col min="2" max="2" width="15.5" customWidth="1"/>
    <col min="3" max="3" width="8.1" customWidth="1"/>
  </cols>
  <sheetData>
    <row r="1" ht="32" customHeight="1" spans="1:3">
      <c r="A1" s="13" t="s">
        <v>124</v>
      </c>
      <c r="B1" s="13" t="s">
        <v>125</v>
      </c>
      <c r="C1" s="13" t="s">
        <v>126</v>
      </c>
    </row>
    <row r="2" spans="1:3">
      <c r="A2" s="14" t="s">
        <v>75</v>
      </c>
      <c r="B2" s="14" t="s">
        <v>127</v>
      </c>
      <c r="C2" s="14" t="s">
        <v>128</v>
      </c>
    </row>
    <row r="3" spans="1:3">
      <c r="A3" s="14" t="s">
        <v>76</v>
      </c>
      <c r="B3" s="14" t="s">
        <v>127</v>
      </c>
      <c r="C3" s="14" t="s">
        <v>128</v>
      </c>
    </row>
    <row r="4" spans="1:3">
      <c r="A4" s="14" t="s">
        <v>77</v>
      </c>
      <c r="B4" s="14" t="s">
        <v>127</v>
      </c>
      <c r="C4" s="14" t="s">
        <v>128</v>
      </c>
    </row>
    <row r="5" spans="1:3">
      <c r="A5" s="14" t="s">
        <v>78</v>
      </c>
      <c r="B5" s="14" t="s">
        <v>127</v>
      </c>
      <c r="C5" s="14" t="s">
        <v>128</v>
      </c>
    </row>
    <row r="6" spans="1:3">
      <c r="A6" s="14" t="s">
        <v>79</v>
      </c>
      <c r="B6" s="14" t="s">
        <v>127</v>
      </c>
      <c r="C6" s="14" t="s">
        <v>128</v>
      </c>
    </row>
    <row r="7" spans="1:3">
      <c r="A7" s="14" t="s">
        <v>80</v>
      </c>
      <c r="B7" s="14" t="s">
        <v>127</v>
      </c>
      <c r="C7" s="14" t="s">
        <v>128</v>
      </c>
    </row>
    <row r="8" spans="1:3">
      <c r="A8" s="14" t="s">
        <v>81</v>
      </c>
      <c r="B8" s="14" t="s">
        <v>129</v>
      </c>
      <c r="C8" s="14" t="s">
        <v>128</v>
      </c>
    </row>
    <row r="9" spans="1:3">
      <c r="A9" s="14" t="s">
        <v>82</v>
      </c>
      <c r="B9" s="14" t="s">
        <v>130</v>
      </c>
      <c r="C9" s="14" t="s">
        <v>128</v>
      </c>
    </row>
    <row r="10" spans="1:3">
      <c r="A10" s="14" t="s">
        <v>83</v>
      </c>
      <c r="B10" s="14" t="s">
        <v>130</v>
      </c>
      <c r="C10" s="14" t="s">
        <v>128</v>
      </c>
    </row>
    <row r="11" spans="1:3">
      <c r="A11" s="14" t="s">
        <v>84</v>
      </c>
      <c r="B11" s="14" t="s">
        <v>130</v>
      </c>
      <c r="C11" s="14" t="s">
        <v>128</v>
      </c>
    </row>
    <row r="12" spans="1:3">
      <c r="A12" s="14" t="s">
        <v>85</v>
      </c>
      <c r="B12" s="14" t="s">
        <v>130</v>
      </c>
      <c r="C12" s="14" t="s">
        <v>128</v>
      </c>
    </row>
    <row r="13" spans="1:3">
      <c r="A13" s="14" t="s">
        <v>86</v>
      </c>
      <c r="B13" s="14" t="s">
        <v>130</v>
      </c>
      <c r="C13" s="14" t="s">
        <v>128</v>
      </c>
    </row>
    <row r="14" spans="1:3">
      <c r="A14" s="14" t="s">
        <v>87</v>
      </c>
      <c r="B14" s="14" t="s">
        <v>130</v>
      </c>
      <c r="C14" s="14" t="s">
        <v>128</v>
      </c>
    </row>
    <row r="15" spans="1:3">
      <c r="A15" s="14" t="s">
        <v>88</v>
      </c>
      <c r="B15" s="14" t="s">
        <v>130</v>
      </c>
      <c r="C15" s="14" t="s">
        <v>128</v>
      </c>
    </row>
    <row r="16" spans="1:3">
      <c r="A16" s="14" t="s">
        <v>89</v>
      </c>
      <c r="B16" s="14" t="s">
        <v>130</v>
      </c>
      <c r="C16" s="14" t="s">
        <v>128</v>
      </c>
    </row>
    <row r="17" spans="1:3">
      <c r="A17" s="14" t="s">
        <v>90</v>
      </c>
      <c r="B17" s="14" t="s">
        <v>130</v>
      </c>
      <c r="C17" s="14" t="s">
        <v>128</v>
      </c>
    </row>
    <row r="18" spans="1:3">
      <c r="A18" s="14" t="s">
        <v>91</v>
      </c>
      <c r="B18" s="14" t="s">
        <v>130</v>
      </c>
      <c r="C18" s="14" t="s">
        <v>128</v>
      </c>
    </row>
    <row r="19" spans="1:3">
      <c r="A19" s="14" t="s">
        <v>92</v>
      </c>
      <c r="B19" s="14" t="s">
        <v>130</v>
      </c>
      <c r="C19" s="14" t="s">
        <v>128</v>
      </c>
    </row>
    <row r="20" spans="1:3">
      <c r="A20" s="14" t="s">
        <v>93</v>
      </c>
      <c r="B20" s="14" t="s">
        <v>130</v>
      </c>
      <c r="C20" s="14" t="s">
        <v>128</v>
      </c>
    </row>
    <row r="21" spans="1:3">
      <c r="A21" s="14" t="s">
        <v>94</v>
      </c>
      <c r="B21" s="14" t="s">
        <v>130</v>
      </c>
      <c r="C21" s="14" t="s">
        <v>128</v>
      </c>
    </row>
    <row r="22" spans="1:3">
      <c r="A22" s="14" t="s">
        <v>95</v>
      </c>
      <c r="B22" s="14" t="s">
        <v>130</v>
      </c>
      <c r="C22" s="14" t="s">
        <v>128</v>
      </c>
    </row>
    <row r="23" spans="1:3">
      <c r="A23" s="14" t="s">
        <v>96</v>
      </c>
      <c r="B23" s="14" t="s">
        <v>130</v>
      </c>
      <c r="C23" s="14" t="s">
        <v>128</v>
      </c>
    </row>
    <row r="24" spans="1:3">
      <c r="A24" s="14" t="s">
        <v>97</v>
      </c>
      <c r="B24" s="14" t="s">
        <v>130</v>
      </c>
      <c r="C24" s="14" t="s">
        <v>128</v>
      </c>
    </row>
    <row r="25" spans="1:3">
      <c r="A25" s="14" t="s">
        <v>98</v>
      </c>
      <c r="B25" s="14" t="s">
        <v>130</v>
      </c>
      <c r="C25" s="14" t="s">
        <v>128</v>
      </c>
    </row>
    <row r="26" spans="1:3">
      <c r="A26" s="14" t="s">
        <v>99</v>
      </c>
      <c r="B26" s="14" t="s">
        <v>130</v>
      </c>
      <c r="C26" s="14" t="s">
        <v>128</v>
      </c>
    </row>
    <row r="27" spans="1:3">
      <c r="A27" s="14" t="s">
        <v>100</v>
      </c>
      <c r="B27" s="14" t="s">
        <v>130</v>
      </c>
      <c r="C27" s="14" t="s">
        <v>128</v>
      </c>
    </row>
    <row r="28" spans="1:3">
      <c r="A28" s="14" t="s">
        <v>101</v>
      </c>
      <c r="B28" s="14" t="s">
        <v>131</v>
      </c>
      <c r="C28" s="14" t="s">
        <v>128</v>
      </c>
    </row>
    <row r="29" spans="1:3">
      <c r="A29" s="14" t="s">
        <v>102</v>
      </c>
      <c r="B29" s="14" t="s">
        <v>131</v>
      </c>
      <c r="C29" s="14" t="s">
        <v>128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1"/>
  <sheetViews>
    <sheetView tabSelected="1" topLeftCell="X1" workbookViewId="0">
      <selection activeCell="A1" sqref="A1"/>
    </sheetView>
  </sheetViews>
  <sheetFormatPr defaultColWidth="9" defaultRowHeight="13.8"/>
  <cols>
    <col min="1" max="3" width="14" customWidth="1"/>
    <col min="4" max="4" width="24" customWidth="1"/>
    <col min="5" max="6" width="14" customWidth="1"/>
    <col min="7" max="7" width="24" customWidth="1"/>
    <col min="8" max="9" width="14" customWidth="1"/>
    <col min="10" max="10" width="36" customWidth="1"/>
    <col min="11" max="14" width="14" customWidth="1"/>
    <col min="15" max="15" width="24" customWidth="1"/>
    <col min="16" max="16" width="14" customWidth="1"/>
    <col min="17" max="17" width="24" customWidth="1"/>
    <col min="18" max="18" width="14" customWidth="1"/>
    <col min="19" max="21" width="16.2" customWidth="1"/>
    <col min="22" max="31" width="14" customWidth="1"/>
    <col min="32" max="32" width="24" customWidth="1"/>
  </cols>
  <sheetData>
    <row r="1" ht="32" customHeight="1" spans="1:32">
      <c r="A1" s="9" t="s">
        <v>132</v>
      </c>
      <c r="B1" s="9" t="s">
        <v>133</v>
      </c>
      <c r="C1" s="9" t="s">
        <v>134</v>
      </c>
      <c r="D1" s="9" t="s">
        <v>135</v>
      </c>
      <c r="E1" s="9" t="s">
        <v>136</v>
      </c>
      <c r="F1" s="9" t="s">
        <v>126</v>
      </c>
      <c r="G1" s="9" t="s">
        <v>124</v>
      </c>
      <c r="H1" s="9" t="s">
        <v>137</v>
      </c>
      <c r="I1" s="9" t="s">
        <v>73</v>
      </c>
      <c r="J1" s="9" t="s">
        <v>138</v>
      </c>
      <c r="K1" s="9" t="s">
        <v>139</v>
      </c>
      <c r="L1" s="9" t="s">
        <v>140</v>
      </c>
      <c r="M1" s="9" t="s">
        <v>141</v>
      </c>
      <c r="N1" s="9" t="s">
        <v>142</v>
      </c>
      <c r="O1" s="9" t="s">
        <v>143</v>
      </c>
      <c r="P1" s="9" t="s">
        <v>144</v>
      </c>
      <c r="Q1" s="9" t="s">
        <v>145</v>
      </c>
      <c r="R1" s="9" t="s">
        <v>146</v>
      </c>
      <c r="S1" s="9" t="s">
        <v>147</v>
      </c>
      <c r="T1" s="9" t="s">
        <v>148</v>
      </c>
      <c r="U1" s="9" t="s">
        <v>149</v>
      </c>
      <c r="V1" s="9" t="s">
        <v>150</v>
      </c>
      <c r="W1" s="9" t="s">
        <v>151</v>
      </c>
      <c r="X1" s="9" t="s">
        <v>152</v>
      </c>
      <c r="Y1" s="9" t="s">
        <v>153</v>
      </c>
      <c r="Z1" s="9" t="s">
        <v>154</v>
      </c>
      <c r="AA1" s="9" t="s">
        <v>155</v>
      </c>
      <c r="AB1" s="9" t="s">
        <v>156</v>
      </c>
      <c r="AC1" s="9" t="s">
        <v>157</v>
      </c>
      <c r="AD1" s="9" t="s">
        <v>158</v>
      </c>
      <c r="AE1" s="9" t="s">
        <v>159</v>
      </c>
      <c r="AF1" s="9" t="s">
        <v>160</v>
      </c>
    </row>
    <row r="2" spans="1:32">
      <c r="A2" t="s">
        <v>161</v>
      </c>
      <c r="B2" s="10">
        <v>46224</v>
      </c>
      <c r="C2">
        <v>30</v>
      </c>
      <c r="D2" t="s">
        <v>162</v>
      </c>
      <c r="E2" t="s">
        <v>163</v>
      </c>
      <c r="F2" t="s">
        <v>128</v>
      </c>
      <c r="G2" t="s">
        <v>97</v>
      </c>
      <c r="H2" t="s">
        <v>130</v>
      </c>
      <c r="I2">
        <v>50000</v>
      </c>
      <c r="J2" t="s">
        <v>113</v>
      </c>
      <c r="K2" s="7">
        <v>3.61</v>
      </c>
      <c r="L2" s="11">
        <v>0.82</v>
      </c>
      <c r="M2" s="7">
        <v>4.4</v>
      </c>
      <c r="N2" t="s">
        <v>50</v>
      </c>
      <c r="O2" t="s">
        <v>51</v>
      </c>
      <c r="P2" t="s">
        <v>63</v>
      </c>
      <c r="Q2" t="s">
        <v>64</v>
      </c>
      <c r="R2" t="s">
        <v>164</v>
      </c>
      <c r="S2" s="12">
        <v>46224.3333333333</v>
      </c>
      <c r="T2" s="12">
        <v>46224.5166666667</v>
      </c>
      <c r="U2" s="12">
        <v>46224.5895833333</v>
      </c>
      <c r="V2" t="s">
        <v>165</v>
      </c>
      <c r="W2" s="7">
        <v>4.4</v>
      </c>
      <c r="X2" s="7">
        <v>0</v>
      </c>
      <c r="Y2" s="8">
        <v>110</v>
      </c>
      <c r="Z2" s="8">
        <v>11</v>
      </c>
      <c r="AA2" s="8">
        <v>0.5</v>
      </c>
      <c r="AB2" s="8">
        <v>5</v>
      </c>
      <c r="AC2" s="8">
        <v>126.5</v>
      </c>
      <c r="AD2" s="8">
        <v>183.42</v>
      </c>
      <c r="AE2" s="8">
        <v>56.92</v>
      </c>
      <c r="AF2" t="s">
        <v>20</v>
      </c>
    </row>
    <row r="3" spans="1:32">
      <c r="A3" t="s">
        <v>166</v>
      </c>
      <c r="B3" s="10">
        <v>46217</v>
      </c>
      <c r="C3">
        <v>29</v>
      </c>
      <c r="D3" t="s">
        <v>167</v>
      </c>
      <c r="E3" t="s">
        <v>168</v>
      </c>
      <c r="F3" t="s">
        <v>128</v>
      </c>
      <c r="G3" t="s">
        <v>76</v>
      </c>
      <c r="H3" t="s">
        <v>127</v>
      </c>
      <c r="I3">
        <v>15000</v>
      </c>
      <c r="J3" t="s">
        <v>106</v>
      </c>
      <c r="K3" s="7">
        <v>0.7</v>
      </c>
      <c r="L3" s="11">
        <v>0.82</v>
      </c>
      <c r="M3" s="7">
        <v>0.85</v>
      </c>
      <c r="N3" t="s">
        <v>50</v>
      </c>
      <c r="O3" t="s">
        <v>51</v>
      </c>
      <c r="P3" t="s">
        <v>63</v>
      </c>
      <c r="Q3" t="s">
        <v>64</v>
      </c>
      <c r="R3" t="s">
        <v>169</v>
      </c>
      <c r="S3" s="12">
        <v>46217.4166666667</v>
      </c>
      <c r="T3" s="12">
        <v>46217.4520833333</v>
      </c>
      <c r="U3" s="12">
        <v>46217.525</v>
      </c>
      <c r="V3" t="s">
        <v>170</v>
      </c>
      <c r="W3" s="7">
        <v>0.85</v>
      </c>
      <c r="X3" s="7">
        <v>0</v>
      </c>
      <c r="Y3" s="8">
        <v>21.25</v>
      </c>
      <c r="Z3" s="8">
        <v>11</v>
      </c>
      <c r="AA3" s="8">
        <v>0.5</v>
      </c>
      <c r="AB3" s="8">
        <v>5</v>
      </c>
      <c r="AC3" s="8">
        <v>37.75</v>
      </c>
      <c r="AD3" s="8">
        <v>54.74</v>
      </c>
      <c r="AE3" s="8">
        <v>16.99</v>
      </c>
      <c r="AF3" t="s">
        <v>20</v>
      </c>
    </row>
    <row r="4" spans="1:32">
      <c r="A4" t="s">
        <v>171</v>
      </c>
      <c r="B4" s="10">
        <v>46216</v>
      </c>
      <c r="C4">
        <v>29</v>
      </c>
      <c r="D4" t="s">
        <v>172</v>
      </c>
      <c r="E4" t="s">
        <v>173</v>
      </c>
      <c r="F4" t="s">
        <v>128</v>
      </c>
      <c r="G4" t="s">
        <v>90</v>
      </c>
      <c r="H4" t="s">
        <v>130</v>
      </c>
      <c r="I4">
        <v>1500</v>
      </c>
      <c r="J4" t="s">
        <v>103</v>
      </c>
      <c r="K4" s="7">
        <v>0.45</v>
      </c>
      <c r="L4" s="11">
        <v>0.82</v>
      </c>
      <c r="M4" s="7">
        <v>0.55</v>
      </c>
      <c r="N4" t="s">
        <v>50</v>
      </c>
      <c r="O4" t="s">
        <v>51</v>
      </c>
      <c r="P4" t="s">
        <v>63</v>
      </c>
      <c r="Q4" t="s">
        <v>64</v>
      </c>
      <c r="R4" t="s">
        <v>174</v>
      </c>
      <c r="S4" s="12">
        <v>46216.5833333333</v>
      </c>
      <c r="T4" s="12">
        <v>46216.60625</v>
      </c>
      <c r="U4" s="12">
        <v>46216.6791666667</v>
      </c>
      <c r="V4" t="s">
        <v>165</v>
      </c>
      <c r="W4" s="7">
        <v>0.55</v>
      </c>
      <c r="X4" s="7">
        <v>0</v>
      </c>
      <c r="Y4" s="8">
        <v>13.75</v>
      </c>
      <c r="Z4" s="8">
        <v>11</v>
      </c>
      <c r="AA4" s="8">
        <v>0.5</v>
      </c>
      <c r="AB4" s="8">
        <v>5</v>
      </c>
      <c r="AC4" s="8">
        <v>30.25</v>
      </c>
      <c r="AD4" s="8">
        <v>43.86</v>
      </c>
      <c r="AE4" s="8">
        <v>13.61</v>
      </c>
      <c r="AF4" t="s">
        <v>20</v>
      </c>
    </row>
    <row r="5" spans="1:32">
      <c r="A5" t="s">
        <v>175</v>
      </c>
      <c r="B5" s="10">
        <v>46217</v>
      </c>
      <c r="C5">
        <v>29</v>
      </c>
      <c r="D5" t="s">
        <v>176</v>
      </c>
      <c r="E5" t="s">
        <v>177</v>
      </c>
      <c r="F5" t="s">
        <v>128</v>
      </c>
      <c r="G5" t="s">
        <v>76</v>
      </c>
      <c r="H5" t="s">
        <v>127</v>
      </c>
      <c r="I5">
        <v>30000</v>
      </c>
      <c r="J5" t="s">
        <v>109</v>
      </c>
      <c r="K5" s="7">
        <v>4.23</v>
      </c>
      <c r="L5" s="11">
        <v>0.82</v>
      </c>
      <c r="M5" s="7">
        <v>5.16</v>
      </c>
      <c r="N5" t="s">
        <v>53</v>
      </c>
      <c r="O5" t="s">
        <v>54</v>
      </c>
      <c r="P5" t="s">
        <v>66</v>
      </c>
      <c r="Q5" t="s">
        <v>67</v>
      </c>
      <c r="R5" t="s">
        <v>178</v>
      </c>
      <c r="S5" s="12">
        <v>46217.6458333333</v>
      </c>
      <c r="T5" s="12">
        <v>46217.8608333333</v>
      </c>
      <c r="U5" s="12">
        <v>46217.93375</v>
      </c>
      <c r="V5" t="s">
        <v>165</v>
      </c>
      <c r="W5" s="7">
        <v>2.16</v>
      </c>
      <c r="X5" s="7">
        <v>3</v>
      </c>
      <c r="Y5" s="8">
        <v>129</v>
      </c>
      <c r="Z5" s="8">
        <v>11</v>
      </c>
      <c r="AA5" s="8">
        <v>0.5</v>
      </c>
      <c r="AB5" s="8">
        <v>5</v>
      </c>
      <c r="AC5" s="8">
        <v>145.5</v>
      </c>
      <c r="AD5" s="8">
        <v>210.97</v>
      </c>
      <c r="AE5" s="8">
        <v>65.47</v>
      </c>
      <c r="AF5" t="s">
        <v>20</v>
      </c>
    </row>
    <row r="6" spans="1:32">
      <c r="A6" t="s">
        <v>179</v>
      </c>
      <c r="B6" s="10">
        <v>46226</v>
      </c>
      <c r="C6">
        <v>30</v>
      </c>
      <c r="D6" t="s">
        <v>167</v>
      </c>
      <c r="E6" t="s">
        <v>180</v>
      </c>
      <c r="F6" t="s">
        <v>128</v>
      </c>
      <c r="G6" t="s">
        <v>91</v>
      </c>
      <c r="H6" t="s">
        <v>130</v>
      </c>
      <c r="I6">
        <v>65000</v>
      </c>
      <c r="J6" t="s">
        <v>116</v>
      </c>
      <c r="K6" s="7">
        <v>0.5</v>
      </c>
      <c r="L6" s="11">
        <v>0.82</v>
      </c>
      <c r="M6" s="7">
        <v>0.61</v>
      </c>
      <c r="N6" t="s">
        <v>50</v>
      </c>
      <c r="O6" t="s">
        <v>51</v>
      </c>
      <c r="P6" t="s">
        <v>63</v>
      </c>
      <c r="Q6" t="s">
        <v>64</v>
      </c>
      <c r="R6" t="s">
        <v>181</v>
      </c>
      <c r="S6" s="12">
        <v>46226.3333333333</v>
      </c>
      <c r="T6" s="12">
        <v>46226.35875</v>
      </c>
      <c r="U6" s="12">
        <v>46226.4316666667</v>
      </c>
      <c r="V6" t="s">
        <v>6</v>
      </c>
      <c r="W6" s="7">
        <v>0.61</v>
      </c>
      <c r="X6" s="7">
        <v>0</v>
      </c>
      <c r="Y6" s="8">
        <v>15.25</v>
      </c>
      <c r="Z6" s="8">
        <v>11</v>
      </c>
      <c r="AA6" s="8">
        <v>0.5</v>
      </c>
      <c r="AB6" s="8">
        <v>5</v>
      </c>
      <c r="AC6" s="8">
        <v>31.75</v>
      </c>
      <c r="AD6" s="8">
        <v>46.04</v>
      </c>
      <c r="AE6" s="8">
        <v>14.29</v>
      </c>
      <c r="AF6" t="s">
        <v>20</v>
      </c>
    </row>
    <row r="7" spans="1:32">
      <c r="A7" t="s">
        <v>182</v>
      </c>
      <c r="B7" s="10">
        <v>46224</v>
      </c>
      <c r="C7">
        <v>30</v>
      </c>
      <c r="D7" t="s">
        <v>167</v>
      </c>
      <c r="E7" t="s">
        <v>183</v>
      </c>
      <c r="F7" t="s">
        <v>128</v>
      </c>
      <c r="G7" t="s">
        <v>94</v>
      </c>
      <c r="H7" t="s">
        <v>130</v>
      </c>
      <c r="I7">
        <v>1500</v>
      </c>
      <c r="J7" t="s">
        <v>103</v>
      </c>
      <c r="K7" s="7">
        <v>0.45</v>
      </c>
      <c r="L7" s="11">
        <v>0.82</v>
      </c>
      <c r="M7" s="7">
        <v>0.55</v>
      </c>
      <c r="N7" t="s">
        <v>53</v>
      </c>
      <c r="O7" t="s">
        <v>54</v>
      </c>
      <c r="P7" t="s">
        <v>66</v>
      </c>
      <c r="Q7" t="s">
        <v>67</v>
      </c>
      <c r="R7" t="s">
        <v>184</v>
      </c>
      <c r="S7" s="12">
        <v>46224.4166666667</v>
      </c>
      <c r="T7" s="12">
        <v>46224.4395833333</v>
      </c>
      <c r="U7" s="12">
        <v>46224.5125</v>
      </c>
      <c r="V7" t="s">
        <v>165</v>
      </c>
      <c r="W7" s="7">
        <v>0.55</v>
      </c>
      <c r="X7" s="7">
        <v>0</v>
      </c>
      <c r="Y7" s="8">
        <v>13.75</v>
      </c>
      <c r="Z7" s="8">
        <v>11</v>
      </c>
      <c r="AA7" s="8">
        <v>0.5</v>
      </c>
      <c r="AB7" s="8">
        <v>5</v>
      </c>
      <c r="AC7" s="8">
        <v>30.25</v>
      </c>
      <c r="AD7" s="8">
        <v>43.86</v>
      </c>
      <c r="AE7" s="8">
        <v>13.61</v>
      </c>
      <c r="AF7" t="s">
        <v>20</v>
      </c>
    </row>
    <row r="8" spans="1:32">
      <c r="A8" t="s">
        <v>185</v>
      </c>
      <c r="B8" s="10">
        <v>46216</v>
      </c>
      <c r="C8">
        <v>29</v>
      </c>
      <c r="D8" t="s">
        <v>162</v>
      </c>
      <c r="E8" t="s">
        <v>186</v>
      </c>
      <c r="F8" t="s">
        <v>128</v>
      </c>
      <c r="G8" t="s">
        <v>88</v>
      </c>
      <c r="H8" t="s">
        <v>130</v>
      </c>
      <c r="I8">
        <v>40000</v>
      </c>
      <c r="J8" t="s">
        <v>111</v>
      </c>
      <c r="K8" s="7">
        <v>3.86</v>
      </c>
      <c r="L8" s="11">
        <v>0.82</v>
      </c>
      <c r="M8" s="7">
        <v>4.71</v>
      </c>
      <c r="N8" t="s">
        <v>53</v>
      </c>
      <c r="O8" t="s">
        <v>54</v>
      </c>
      <c r="P8" t="s">
        <v>66</v>
      </c>
      <c r="Q8" t="s">
        <v>67</v>
      </c>
      <c r="R8" t="s">
        <v>164</v>
      </c>
      <c r="S8" s="12">
        <v>46216.5833333333</v>
      </c>
      <c r="T8" s="12">
        <v>46216.7795833333</v>
      </c>
      <c r="U8" s="12">
        <v>46216.8525</v>
      </c>
      <c r="V8" t="s">
        <v>165</v>
      </c>
      <c r="W8" s="7">
        <v>3.5</v>
      </c>
      <c r="X8" s="7">
        <v>1.21</v>
      </c>
      <c r="Y8" s="8">
        <v>117.75</v>
      </c>
      <c r="Z8" s="8">
        <v>11</v>
      </c>
      <c r="AA8" s="8">
        <v>0.5</v>
      </c>
      <c r="AB8" s="8">
        <v>5</v>
      </c>
      <c r="AC8" s="8">
        <v>134.25</v>
      </c>
      <c r="AD8" s="8">
        <v>194.66</v>
      </c>
      <c r="AE8" s="8">
        <v>60.41</v>
      </c>
      <c r="AF8" t="s">
        <v>20</v>
      </c>
    </row>
    <row r="9" spans="1:32">
      <c r="A9" t="s">
        <v>187</v>
      </c>
      <c r="B9" s="10">
        <v>46226</v>
      </c>
      <c r="C9">
        <v>30</v>
      </c>
      <c r="D9" t="s">
        <v>188</v>
      </c>
      <c r="E9" t="s">
        <v>189</v>
      </c>
      <c r="F9" t="s">
        <v>128</v>
      </c>
      <c r="G9" t="s">
        <v>76</v>
      </c>
      <c r="H9" t="s">
        <v>127</v>
      </c>
      <c r="I9">
        <v>30000</v>
      </c>
      <c r="J9" t="s">
        <v>109</v>
      </c>
      <c r="K9" s="7">
        <v>4.23</v>
      </c>
      <c r="L9" s="11">
        <v>0.82</v>
      </c>
      <c r="M9" s="7">
        <v>5.16</v>
      </c>
      <c r="N9" t="s">
        <v>53</v>
      </c>
      <c r="O9" t="s">
        <v>54</v>
      </c>
      <c r="P9" t="s">
        <v>66</v>
      </c>
      <c r="Q9" t="s">
        <v>67</v>
      </c>
      <c r="R9" t="s">
        <v>169</v>
      </c>
      <c r="S9" s="12">
        <v>46226.6458333333</v>
      </c>
      <c r="T9" s="12">
        <v>46226.8608333333</v>
      </c>
      <c r="U9" s="12">
        <v>46226.93375</v>
      </c>
      <c r="V9" t="s">
        <v>170</v>
      </c>
      <c r="W9" s="7">
        <v>2.16</v>
      </c>
      <c r="X9" s="7">
        <v>3</v>
      </c>
      <c r="Y9" s="8">
        <v>129</v>
      </c>
      <c r="Z9" s="8">
        <v>11</v>
      </c>
      <c r="AA9" s="8">
        <v>0.5</v>
      </c>
      <c r="AB9" s="8">
        <v>5</v>
      </c>
      <c r="AC9" s="8">
        <v>145.5</v>
      </c>
      <c r="AD9" s="8">
        <v>210.97</v>
      </c>
      <c r="AE9" s="8">
        <v>65.47</v>
      </c>
      <c r="AF9" t="s">
        <v>20</v>
      </c>
    </row>
    <row r="10" spans="1:32">
      <c r="A10" t="s">
        <v>190</v>
      </c>
      <c r="B10" s="10">
        <v>46225</v>
      </c>
      <c r="C10">
        <v>30</v>
      </c>
      <c r="D10" t="s">
        <v>191</v>
      </c>
      <c r="E10" t="s">
        <v>192</v>
      </c>
      <c r="F10" t="s">
        <v>128</v>
      </c>
      <c r="G10" t="s">
        <v>85</v>
      </c>
      <c r="H10" t="s">
        <v>130</v>
      </c>
      <c r="I10">
        <v>85000</v>
      </c>
      <c r="J10" t="s">
        <v>120</v>
      </c>
      <c r="K10" s="7">
        <v>0.5</v>
      </c>
      <c r="L10" s="11">
        <v>0.82</v>
      </c>
      <c r="M10" s="7">
        <v>0.61</v>
      </c>
      <c r="N10" t="s">
        <v>50</v>
      </c>
      <c r="O10" t="s">
        <v>51</v>
      </c>
      <c r="P10" t="s">
        <v>63</v>
      </c>
      <c r="Q10" t="s">
        <v>64</v>
      </c>
      <c r="R10" t="s">
        <v>174</v>
      </c>
      <c r="S10" s="12">
        <v>46225.3333333333</v>
      </c>
      <c r="T10" s="12">
        <v>46225.35875</v>
      </c>
      <c r="U10" s="12">
        <v>46225.4316666667</v>
      </c>
      <c r="V10" t="s">
        <v>6</v>
      </c>
      <c r="W10" s="7">
        <v>0.61</v>
      </c>
      <c r="X10" s="7">
        <v>0</v>
      </c>
      <c r="Y10" s="8">
        <v>15.25</v>
      </c>
      <c r="Z10" s="8">
        <v>11</v>
      </c>
      <c r="AA10" s="8">
        <v>0.5</v>
      </c>
      <c r="AB10" s="8">
        <v>5</v>
      </c>
      <c r="AC10" s="8">
        <v>31.75</v>
      </c>
      <c r="AD10" s="8">
        <v>46.04</v>
      </c>
      <c r="AE10" s="8">
        <v>14.29</v>
      </c>
      <c r="AF10" t="s">
        <v>20</v>
      </c>
    </row>
    <row r="11" spans="1:32">
      <c r="A11" t="s">
        <v>193</v>
      </c>
      <c r="B11" s="10">
        <v>46230</v>
      </c>
      <c r="C11">
        <v>31</v>
      </c>
      <c r="D11" t="s">
        <v>194</v>
      </c>
      <c r="E11" t="s">
        <v>195</v>
      </c>
      <c r="F11" t="s">
        <v>128</v>
      </c>
      <c r="G11" t="s">
        <v>80</v>
      </c>
      <c r="H11" t="s">
        <v>127</v>
      </c>
      <c r="I11">
        <v>65000</v>
      </c>
      <c r="J11" t="s">
        <v>116</v>
      </c>
      <c r="K11" s="7">
        <v>0.5</v>
      </c>
      <c r="L11" s="11">
        <v>0.82</v>
      </c>
      <c r="M11" s="7">
        <v>0.61</v>
      </c>
      <c r="N11" t="s">
        <v>50</v>
      </c>
      <c r="O11" t="s">
        <v>51</v>
      </c>
      <c r="P11" t="s">
        <v>63</v>
      </c>
      <c r="Q11" t="s">
        <v>64</v>
      </c>
      <c r="R11" t="s">
        <v>178</v>
      </c>
      <c r="S11" s="12">
        <v>46230.4166666667</v>
      </c>
      <c r="T11" s="12">
        <v>46230.4420833333</v>
      </c>
      <c r="U11" s="12">
        <v>46230.515</v>
      </c>
      <c r="V11" t="s">
        <v>6</v>
      </c>
      <c r="W11" s="7">
        <v>0.61</v>
      </c>
      <c r="X11" s="7">
        <v>0</v>
      </c>
      <c r="Y11" s="8">
        <v>15.25</v>
      </c>
      <c r="Z11" s="8">
        <v>11</v>
      </c>
      <c r="AA11" s="8">
        <v>0.5</v>
      </c>
      <c r="AB11" s="8">
        <v>5</v>
      </c>
      <c r="AC11" s="8">
        <v>31.75</v>
      </c>
      <c r="AD11" s="8">
        <v>46.04</v>
      </c>
      <c r="AE11" s="8">
        <v>14.29</v>
      </c>
      <c r="AF11" t="s">
        <v>20</v>
      </c>
    </row>
    <row r="12" spans="1:32">
      <c r="A12" t="s">
        <v>196</v>
      </c>
      <c r="B12" s="10">
        <v>46230</v>
      </c>
      <c r="C12">
        <v>31</v>
      </c>
      <c r="D12" t="s">
        <v>188</v>
      </c>
      <c r="E12" t="s">
        <v>197</v>
      </c>
      <c r="F12" t="s">
        <v>128</v>
      </c>
      <c r="G12" t="s">
        <v>79</v>
      </c>
      <c r="H12" t="s">
        <v>127</v>
      </c>
      <c r="I12">
        <v>1500</v>
      </c>
      <c r="J12" t="s">
        <v>103</v>
      </c>
      <c r="K12" s="7">
        <v>0.65</v>
      </c>
      <c r="L12" s="11">
        <v>0.82</v>
      </c>
      <c r="M12" s="7">
        <v>0.79</v>
      </c>
      <c r="N12" t="s">
        <v>53</v>
      </c>
      <c r="O12" t="s">
        <v>54</v>
      </c>
      <c r="P12" t="s">
        <v>66</v>
      </c>
      <c r="Q12" t="s">
        <v>67</v>
      </c>
      <c r="R12" t="s">
        <v>181</v>
      </c>
      <c r="S12" s="12">
        <v>46230.5833333333</v>
      </c>
      <c r="T12" s="12">
        <v>46230.61625</v>
      </c>
      <c r="U12" s="12">
        <v>46230.6891666667</v>
      </c>
      <c r="V12" t="s">
        <v>6</v>
      </c>
      <c r="W12" s="7">
        <v>0.79</v>
      </c>
      <c r="X12" s="7">
        <v>0</v>
      </c>
      <c r="Y12" s="8">
        <v>19.75</v>
      </c>
      <c r="Z12" s="8">
        <v>11</v>
      </c>
      <c r="AA12" s="8">
        <v>0.5</v>
      </c>
      <c r="AB12" s="8">
        <v>5</v>
      </c>
      <c r="AC12" s="8">
        <v>36.25</v>
      </c>
      <c r="AD12" s="8">
        <v>52.56</v>
      </c>
      <c r="AE12" s="8">
        <v>16.31</v>
      </c>
      <c r="AF12" t="s">
        <v>20</v>
      </c>
    </row>
    <row r="13" spans="1:32">
      <c r="A13" t="s">
        <v>198</v>
      </c>
      <c r="B13" s="10">
        <v>46226</v>
      </c>
      <c r="C13">
        <v>30</v>
      </c>
      <c r="D13" t="s">
        <v>199</v>
      </c>
      <c r="E13" t="s">
        <v>200</v>
      </c>
      <c r="F13" t="s">
        <v>128</v>
      </c>
      <c r="G13" t="s">
        <v>78</v>
      </c>
      <c r="H13" t="s">
        <v>127</v>
      </c>
      <c r="I13">
        <v>85000</v>
      </c>
      <c r="J13" t="s">
        <v>120</v>
      </c>
      <c r="K13" s="7">
        <v>0.5</v>
      </c>
      <c r="L13" s="11">
        <v>0.82</v>
      </c>
      <c r="M13" s="7">
        <v>0.61</v>
      </c>
      <c r="N13" t="s">
        <v>55</v>
      </c>
      <c r="O13" t="s">
        <v>56</v>
      </c>
      <c r="P13" t="s">
        <v>63</v>
      </c>
      <c r="Q13" t="s">
        <v>64</v>
      </c>
      <c r="R13" t="s">
        <v>184</v>
      </c>
      <c r="S13" s="12">
        <v>46226.6458333333</v>
      </c>
      <c r="T13" s="12">
        <v>46226.67125</v>
      </c>
      <c r="U13" s="12">
        <v>46226.7441666667</v>
      </c>
      <c r="V13" t="s">
        <v>201</v>
      </c>
      <c r="W13" s="7">
        <v>0.61</v>
      </c>
      <c r="X13" s="7">
        <v>0</v>
      </c>
      <c r="Y13" s="8">
        <v>15.25</v>
      </c>
      <c r="Z13" s="8">
        <v>11</v>
      </c>
      <c r="AA13" s="8">
        <v>0.5</v>
      </c>
      <c r="AB13" s="8">
        <v>5</v>
      </c>
      <c r="AC13" s="8">
        <v>31.75</v>
      </c>
      <c r="AD13" s="8">
        <v>46.04</v>
      </c>
      <c r="AE13" s="8">
        <v>14.29</v>
      </c>
      <c r="AF13" t="s">
        <v>20</v>
      </c>
    </row>
    <row r="14" spans="1:32">
      <c r="A14" t="s">
        <v>202</v>
      </c>
      <c r="B14" s="10">
        <v>46230</v>
      </c>
      <c r="C14">
        <v>31</v>
      </c>
      <c r="D14" t="s">
        <v>162</v>
      </c>
      <c r="E14" t="s">
        <v>203</v>
      </c>
      <c r="F14" t="s">
        <v>128</v>
      </c>
      <c r="G14" t="s">
        <v>80</v>
      </c>
      <c r="H14" t="s">
        <v>127</v>
      </c>
      <c r="I14">
        <v>15000</v>
      </c>
      <c r="J14" t="s">
        <v>106</v>
      </c>
      <c r="K14" s="7">
        <v>0.8</v>
      </c>
      <c r="L14" s="11">
        <v>0.82</v>
      </c>
      <c r="M14" s="7">
        <v>0.98</v>
      </c>
      <c r="N14" t="s">
        <v>55</v>
      </c>
      <c r="O14" t="s">
        <v>56</v>
      </c>
      <c r="P14" t="s">
        <v>63</v>
      </c>
      <c r="Q14" t="s">
        <v>64</v>
      </c>
      <c r="R14" t="s">
        <v>164</v>
      </c>
      <c r="S14" s="12">
        <v>46230.3333333333</v>
      </c>
      <c r="T14" s="12">
        <v>46230.3741666667</v>
      </c>
      <c r="U14" s="12">
        <v>46230.4470833333</v>
      </c>
      <c r="V14" t="s">
        <v>165</v>
      </c>
      <c r="W14" s="7">
        <v>0.98</v>
      </c>
      <c r="X14" s="7">
        <v>0</v>
      </c>
      <c r="Y14" s="8">
        <v>24.5</v>
      </c>
      <c r="Z14" s="8">
        <v>11</v>
      </c>
      <c r="AA14" s="8">
        <v>0.5</v>
      </c>
      <c r="AB14" s="8">
        <v>5</v>
      </c>
      <c r="AC14" s="8">
        <v>41</v>
      </c>
      <c r="AD14" s="8">
        <v>59.45</v>
      </c>
      <c r="AE14" s="8">
        <v>18.45</v>
      </c>
      <c r="AF14" t="s">
        <v>20</v>
      </c>
    </row>
    <row r="15" spans="1:32">
      <c r="A15" t="s">
        <v>204</v>
      </c>
      <c r="B15" s="10">
        <v>46217</v>
      </c>
      <c r="C15">
        <v>29</v>
      </c>
      <c r="D15" t="s">
        <v>199</v>
      </c>
      <c r="E15" t="s">
        <v>205</v>
      </c>
      <c r="F15" t="s">
        <v>128</v>
      </c>
      <c r="G15" t="s">
        <v>84</v>
      </c>
      <c r="H15" t="s">
        <v>130</v>
      </c>
      <c r="I15">
        <v>75000</v>
      </c>
      <c r="J15" t="s">
        <v>118</v>
      </c>
      <c r="K15" s="7">
        <v>1.4</v>
      </c>
      <c r="L15" s="11">
        <v>0.82</v>
      </c>
      <c r="M15" s="7">
        <v>1.71</v>
      </c>
      <c r="N15" t="s">
        <v>55</v>
      </c>
      <c r="O15" t="s">
        <v>56</v>
      </c>
      <c r="P15" t="s">
        <v>63</v>
      </c>
      <c r="Q15" t="s">
        <v>64</v>
      </c>
      <c r="R15" t="s">
        <v>169</v>
      </c>
      <c r="S15" s="12">
        <v>46217.4166666667</v>
      </c>
      <c r="T15" s="12">
        <v>46217.4879166667</v>
      </c>
      <c r="U15" s="12">
        <v>46217.5608333333</v>
      </c>
      <c r="V15" t="s">
        <v>170</v>
      </c>
      <c r="W15" s="7">
        <v>1.71</v>
      </c>
      <c r="X15" s="7">
        <v>0</v>
      </c>
      <c r="Y15" s="8">
        <v>42.75</v>
      </c>
      <c r="Z15" s="8">
        <v>11</v>
      </c>
      <c r="AA15" s="8">
        <v>0.5</v>
      </c>
      <c r="AB15" s="8">
        <v>5</v>
      </c>
      <c r="AC15" s="8">
        <v>59.25</v>
      </c>
      <c r="AD15" s="8">
        <v>85.91</v>
      </c>
      <c r="AE15" s="8">
        <v>26.66</v>
      </c>
      <c r="AF15" t="s">
        <v>20</v>
      </c>
    </row>
    <row r="16" spans="1:32">
      <c r="A16" t="s">
        <v>206</v>
      </c>
      <c r="B16" s="10">
        <v>46218</v>
      </c>
      <c r="C16">
        <v>29</v>
      </c>
      <c r="D16" t="s">
        <v>207</v>
      </c>
      <c r="E16" t="s">
        <v>208</v>
      </c>
      <c r="F16" t="s">
        <v>128</v>
      </c>
      <c r="G16" t="s">
        <v>98</v>
      </c>
      <c r="H16" t="s">
        <v>130</v>
      </c>
      <c r="I16">
        <v>95000</v>
      </c>
      <c r="J16" t="s">
        <v>122</v>
      </c>
      <c r="K16" s="7">
        <v>0.6</v>
      </c>
      <c r="L16" s="11">
        <v>0.82</v>
      </c>
      <c r="M16" s="7">
        <v>0.73</v>
      </c>
      <c r="N16" t="s">
        <v>50</v>
      </c>
      <c r="O16" t="s">
        <v>51</v>
      </c>
      <c r="P16" t="s">
        <v>63</v>
      </c>
      <c r="Q16" t="s">
        <v>64</v>
      </c>
      <c r="R16" t="s">
        <v>174</v>
      </c>
      <c r="S16" s="12">
        <v>46218.5833333333</v>
      </c>
      <c r="T16" s="12">
        <v>46218.61375</v>
      </c>
      <c r="U16" s="12">
        <v>46218.6866666667</v>
      </c>
      <c r="V16" t="s">
        <v>6</v>
      </c>
      <c r="W16" s="7">
        <v>0.73</v>
      </c>
      <c r="X16" s="7">
        <v>0</v>
      </c>
      <c r="Y16" s="8">
        <v>18.25</v>
      </c>
      <c r="Z16" s="8">
        <v>11</v>
      </c>
      <c r="AA16" s="8">
        <v>0.5</v>
      </c>
      <c r="AB16" s="8">
        <v>5</v>
      </c>
      <c r="AC16" s="8">
        <v>34.75</v>
      </c>
      <c r="AD16" s="8">
        <v>50.39</v>
      </c>
      <c r="AE16" s="8">
        <v>15.64</v>
      </c>
      <c r="AF16" t="s">
        <v>20</v>
      </c>
    </row>
    <row r="17" spans="1:32">
      <c r="A17" t="s">
        <v>209</v>
      </c>
      <c r="B17" s="10">
        <v>46224</v>
      </c>
      <c r="C17">
        <v>30</v>
      </c>
      <c r="D17" t="s">
        <v>199</v>
      </c>
      <c r="E17" t="s">
        <v>210</v>
      </c>
      <c r="F17" t="s">
        <v>128</v>
      </c>
      <c r="G17" t="s">
        <v>97</v>
      </c>
      <c r="H17" t="s">
        <v>130</v>
      </c>
      <c r="I17">
        <v>60000</v>
      </c>
      <c r="J17" t="s">
        <v>115</v>
      </c>
      <c r="K17" s="7">
        <v>8.21</v>
      </c>
      <c r="L17" s="11">
        <v>0.82</v>
      </c>
      <c r="M17" s="7">
        <v>10.01</v>
      </c>
      <c r="N17" t="s">
        <v>55</v>
      </c>
      <c r="O17" t="s">
        <v>56</v>
      </c>
      <c r="P17" t="s">
        <v>63</v>
      </c>
      <c r="Q17" t="s">
        <v>64</v>
      </c>
      <c r="R17" t="s">
        <v>178</v>
      </c>
      <c r="S17" s="12">
        <v>46224.6458333333</v>
      </c>
      <c r="T17" s="12">
        <v>46225.0629166667</v>
      </c>
      <c r="U17" s="12">
        <v>46225.1358333333</v>
      </c>
      <c r="V17" t="s">
        <v>165</v>
      </c>
      <c r="W17" s="7">
        <v>7.01</v>
      </c>
      <c r="X17" s="7">
        <v>3</v>
      </c>
      <c r="Y17" s="8">
        <v>250.25</v>
      </c>
      <c r="Z17" s="8">
        <v>11</v>
      </c>
      <c r="AA17" s="8">
        <v>0.5</v>
      </c>
      <c r="AB17" s="8">
        <v>5</v>
      </c>
      <c r="AC17" s="8">
        <v>266.75</v>
      </c>
      <c r="AD17" s="8">
        <v>386.79</v>
      </c>
      <c r="AE17" s="8">
        <v>120.04</v>
      </c>
      <c r="AF17" t="s">
        <v>20</v>
      </c>
    </row>
    <row r="18" spans="1:32">
      <c r="A18" t="s">
        <v>211</v>
      </c>
      <c r="B18" s="10">
        <v>46219</v>
      </c>
      <c r="C18">
        <v>29</v>
      </c>
      <c r="D18" t="s">
        <v>212</v>
      </c>
      <c r="E18" t="s">
        <v>213</v>
      </c>
      <c r="F18" t="s">
        <v>128</v>
      </c>
      <c r="G18" t="s">
        <v>102</v>
      </c>
      <c r="H18" t="s">
        <v>131</v>
      </c>
      <c r="I18">
        <v>40000</v>
      </c>
      <c r="J18" t="s">
        <v>111</v>
      </c>
      <c r="K18" s="7">
        <v>6.11</v>
      </c>
      <c r="L18" s="11">
        <v>0.82</v>
      </c>
      <c r="M18" s="7">
        <v>7.45</v>
      </c>
      <c r="N18" t="s">
        <v>50</v>
      </c>
      <c r="O18" t="s">
        <v>51</v>
      </c>
      <c r="P18" t="s">
        <v>63</v>
      </c>
      <c r="Q18" t="s">
        <v>64</v>
      </c>
      <c r="R18" t="s">
        <v>181</v>
      </c>
      <c r="S18" s="12">
        <v>46219.3333333333</v>
      </c>
      <c r="T18" s="12">
        <v>46219.6854166667</v>
      </c>
      <c r="U18" s="12">
        <v>46219.7583333333</v>
      </c>
      <c r="V18" t="s">
        <v>170</v>
      </c>
      <c r="W18" s="7">
        <v>7.45</v>
      </c>
      <c r="X18" s="7">
        <v>0</v>
      </c>
      <c r="Y18" s="8">
        <v>186.25</v>
      </c>
      <c r="Z18" s="8">
        <v>11</v>
      </c>
      <c r="AA18" s="8">
        <v>0.5</v>
      </c>
      <c r="AB18" s="8">
        <v>5</v>
      </c>
      <c r="AC18" s="8">
        <v>202.75</v>
      </c>
      <c r="AD18" s="8">
        <v>293.99</v>
      </c>
      <c r="AE18" s="8">
        <v>91.24</v>
      </c>
      <c r="AF18" t="s">
        <v>20</v>
      </c>
    </row>
    <row r="19" spans="1:32">
      <c r="A19" t="s">
        <v>214</v>
      </c>
      <c r="B19" s="10">
        <v>46220</v>
      </c>
      <c r="C19">
        <v>29</v>
      </c>
      <c r="D19" t="s">
        <v>172</v>
      </c>
      <c r="E19" t="s">
        <v>215</v>
      </c>
      <c r="F19" t="s">
        <v>128</v>
      </c>
      <c r="G19" t="s">
        <v>81</v>
      </c>
      <c r="H19" t="s">
        <v>129</v>
      </c>
      <c r="I19">
        <v>95000</v>
      </c>
      <c r="J19" t="s">
        <v>122</v>
      </c>
      <c r="K19" s="7">
        <v>0.5</v>
      </c>
      <c r="L19" s="11">
        <v>0.82</v>
      </c>
      <c r="M19" s="7">
        <v>0.61</v>
      </c>
      <c r="N19" t="s">
        <v>50</v>
      </c>
      <c r="O19" t="s">
        <v>51</v>
      </c>
      <c r="P19" t="s">
        <v>63</v>
      </c>
      <c r="Q19" t="s">
        <v>64</v>
      </c>
      <c r="R19" t="s">
        <v>184</v>
      </c>
      <c r="S19" s="12">
        <v>46220.4166666667</v>
      </c>
      <c r="T19" s="12">
        <v>46220.4420833333</v>
      </c>
      <c r="U19" s="12">
        <v>46220.515</v>
      </c>
      <c r="V19" t="s">
        <v>165</v>
      </c>
      <c r="W19" s="7">
        <v>0.61</v>
      </c>
      <c r="X19" s="7">
        <v>0</v>
      </c>
      <c r="Y19" s="8">
        <v>15.25</v>
      </c>
      <c r="Z19" s="8">
        <v>11</v>
      </c>
      <c r="AA19" s="8">
        <v>0.5</v>
      </c>
      <c r="AB19" s="8">
        <v>5</v>
      </c>
      <c r="AC19" s="8">
        <v>31.75</v>
      </c>
      <c r="AD19" s="8">
        <v>46.04</v>
      </c>
      <c r="AE19" s="8">
        <v>14.29</v>
      </c>
      <c r="AF19" t="s">
        <v>20</v>
      </c>
    </row>
    <row r="20" spans="1:32">
      <c r="A20" t="s">
        <v>216</v>
      </c>
      <c r="B20" s="10">
        <v>46226</v>
      </c>
      <c r="C20">
        <v>30</v>
      </c>
      <c r="D20" t="s">
        <v>176</v>
      </c>
      <c r="E20" t="s">
        <v>217</v>
      </c>
      <c r="F20" t="s">
        <v>128</v>
      </c>
      <c r="G20" t="s">
        <v>95</v>
      </c>
      <c r="H20" t="s">
        <v>130</v>
      </c>
      <c r="I20">
        <v>1000000</v>
      </c>
      <c r="J20" t="s">
        <v>123</v>
      </c>
      <c r="K20" s="7">
        <v>4.86</v>
      </c>
      <c r="L20" s="11">
        <v>0.82</v>
      </c>
      <c r="M20" s="7">
        <v>5.93</v>
      </c>
      <c r="N20" t="s">
        <v>57</v>
      </c>
      <c r="O20" t="s">
        <v>58</v>
      </c>
      <c r="P20" t="s">
        <v>66</v>
      </c>
      <c r="Q20" t="s">
        <v>67</v>
      </c>
      <c r="R20" t="s">
        <v>164</v>
      </c>
      <c r="S20" s="12">
        <v>46226.5833333333</v>
      </c>
      <c r="T20" s="12">
        <v>46226.8304166667</v>
      </c>
      <c r="U20" s="12">
        <v>46226.9033333333</v>
      </c>
      <c r="V20" t="s">
        <v>170</v>
      </c>
      <c r="W20" s="7">
        <v>3.5</v>
      </c>
      <c r="X20" s="7">
        <v>2.43</v>
      </c>
      <c r="Y20" s="8">
        <v>148.25</v>
      </c>
      <c r="Z20" s="8">
        <v>11</v>
      </c>
      <c r="AA20" s="8">
        <v>0.5</v>
      </c>
      <c r="AB20" s="8">
        <v>5</v>
      </c>
      <c r="AC20" s="8">
        <v>164.75</v>
      </c>
      <c r="AD20" s="8">
        <v>238.89</v>
      </c>
      <c r="AE20" s="8">
        <v>74.14</v>
      </c>
      <c r="AF20" t="s">
        <v>20</v>
      </c>
    </row>
    <row r="21" spans="1:32">
      <c r="A21" t="s">
        <v>218</v>
      </c>
      <c r="B21" s="10">
        <v>46225</v>
      </c>
      <c r="C21">
        <v>30</v>
      </c>
      <c r="D21" t="s">
        <v>188</v>
      </c>
      <c r="E21" t="s">
        <v>219</v>
      </c>
      <c r="F21" t="s">
        <v>128</v>
      </c>
      <c r="G21" t="s">
        <v>76</v>
      </c>
      <c r="H21" t="s">
        <v>127</v>
      </c>
      <c r="I21">
        <v>40000</v>
      </c>
      <c r="J21" t="s">
        <v>111</v>
      </c>
      <c r="K21" s="7">
        <v>3.53</v>
      </c>
      <c r="L21" s="11">
        <v>0.82</v>
      </c>
      <c r="M21" s="7">
        <v>4.3</v>
      </c>
      <c r="N21" t="s">
        <v>53</v>
      </c>
      <c r="O21" t="s">
        <v>54</v>
      </c>
      <c r="P21" t="s">
        <v>66</v>
      </c>
      <c r="Q21" t="s">
        <v>67</v>
      </c>
      <c r="R21" t="s">
        <v>169</v>
      </c>
      <c r="S21" s="12">
        <v>46225.6458333333</v>
      </c>
      <c r="T21" s="12">
        <v>46225.825</v>
      </c>
      <c r="U21" s="12">
        <v>46225.8979166667</v>
      </c>
      <c r="V21" t="s">
        <v>6</v>
      </c>
      <c r="W21" s="7">
        <v>2</v>
      </c>
      <c r="X21" s="7">
        <v>2.3</v>
      </c>
      <c r="Y21" s="8">
        <v>107.5</v>
      </c>
      <c r="Z21" s="8">
        <v>11</v>
      </c>
      <c r="AA21" s="8">
        <v>0.5</v>
      </c>
      <c r="AB21" s="8">
        <v>5</v>
      </c>
      <c r="AC21" s="8">
        <v>124</v>
      </c>
      <c r="AD21" s="8">
        <v>179.8</v>
      </c>
      <c r="AE21" s="8">
        <v>55.8</v>
      </c>
      <c r="AF21" t="s">
        <v>20</v>
      </c>
    </row>
    <row r="22" spans="1:32">
      <c r="A22" t="s">
        <v>220</v>
      </c>
      <c r="B22" s="10">
        <v>46227</v>
      </c>
      <c r="C22">
        <v>30</v>
      </c>
      <c r="D22" t="s">
        <v>221</v>
      </c>
      <c r="E22" t="s">
        <v>222</v>
      </c>
      <c r="F22" t="s">
        <v>128</v>
      </c>
      <c r="G22" t="s">
        <v>88</v>
      </c>
      <c r="H22" t="s">
        <v>130</v>
      </c>
      <c r="I22">
        <v>5000</v>
      </c>
      <c r="J22" t="s">
        <v>104</v>
      </c>
      <c r="K22" s="7">
        <v>0.5</v>
      </c>
      <c r="L22" s="11">
        <v>0.82</v>
      </c>
      <c r="M22" s="7">
        <v>0.61</v>
      </c>
      <c r="N22" t="s">
        <v>50</v>
      </c>
      <c r="O22" t="s">
        <v>51</v>
      </c>
      <c r="P22" t="s">
        <v>63</v>
      </c>
      <c r="Q22" t="s">
        <v>64</v>
      </c>
      <c r="R22" t="s">
        <v>174</v>
      </c>
      <c r="S22" s="12">
        <v>46227.3333333333</v>
      </c>
      <c r="T22" s="12">
        <v>46227.35875</v>
      </c>
      <c r="U22" s="12">
        <v>46227.4316666667</v>
      </c>
      <c r="V22" t="s">
        <v>201</v>
      </c>
      <c r="W22" s="7">
        <v>0.61</v>
      </c>
      <c r="X22" s="7">
        <v>0</v>
      </c>
      <c r="Y22" s="8">
        <v>15.25</v>
      </c>
      <c r="Z22" s="8">
        <v>11</v>
      </c>
      <c r="AA22" s="8">
        <v>0.5</v>
      </c>
      <c r="AB22" s="8">
        <v>5</v>
      </c>
      <c r="AC22" s="8">
        <v>31.75</v>
      </c>
      <c r="AD22" s="8">
        <v>46.04</v>
      </c>
      <c r="AE22" s="8">
        <v>14.29</v>
      </c>
      <c r="AF22" t="s">
        <v>20</v>
      </c>
    </row>
    <row r="23" spans="1:32">
      <c r="A23" t="s">
        <v>223</v>
      </c>
      <c r="B23" s="10">
        <v>46220</v>
      </c>
      <c r="C23">
        <v>29</v>
      </c>
      <c r="D23" t="s">
        <v>224</v>
      </c>
      <c r="E23" t="s">
        <v>225</v>
      </c>
      <c r="F23" t="s">
        <v>128</v>
      </c>
      <c r="G23" t="s">
        <v>96</v>
      </c>
      <c r="H23" t="s">
        <v>130</v>
      </c>
      <c r="I23">
        <v>75000</v>
      </c>
      <c r="J23" t="s">
        <v>118</v>
      </c>
      <c r="K23" s="7">
        <v>1.55</v>
      </c>
      <c r="L23" s="11">
        <v>0.82</v>
      </c>
      <c r="M23" s="7">
        <v>1.89</v>
      </c>
      <c r="N23" t="s">
        <v>53</v>
      </c>
      <c r="O23" t="s">
        <v>54</v>
      </c>
      <c r="P23" t="s">
        <v>66</v>
      </c>
      <c r="Q23" t="s">
        <v>67</v>
      </c>
      <c r="R23" t="s">
        <v>178</v>
      </c>
      <c r="S23" s="12">
        <v>46220.4166666667</v>
      </c>
      <c r="T23" s="12">
        <v>46220.4954166667</v>
      </c>
      <c r="U23" s="12">
        <v>46220.5683333333</v>
      </c>
      <c r="V23" t="s">
        <v>165</v>
      </c>
      <c r="W23" s="7">
        <v>1.89</v>
      </c>
      <c r="X23" s="7">
        <v>0</v>
      </c>
      <c r="Y23" s="8">
        <v>47.25</v>
      </c>
      <c r="Z23" s="8">
        <v>11</v>
      </c>
      <c r="AA23" s="8">
        <v>0.5</v>
      </c>
      <c r="AB23" s="8">
        <v>5</v>
      </c>
      <c r="AC23" s="8">
        <v>63.75</v>
      </c>
      <c r="AD23" s="8">
        <v>92.44</v>
      </c>
      <c r="AE23" s="8">
        <v>28.69</v>
      </c>
      <c r="AF23" t="s">
        <v>20</v>
      </c>
    </row>
    <row r="24" spans="1:32">
      <c r="A24" t="s">
        <v>226</v>
      </c>
      <c r="B24" s="10">
        <v>46225</v>
      </c>
      <c r="C24">
        <v>30</v>
      </c>
      <c r="D24" t="s">
        <v>227</v>
      </c>
      <c r="E24" t="s">
        <v>228</v>
      </c>
      <c r="F24" t="s">
        <v>128</v>
      </c>
      <c r="G24" t="s">
        <v>92</v>
      </c>
      <c r="H24" t="s">
        <v>130</v>
      </c>
      <c r="I24">
        <v>85000</v>
      </c>
      <c r="J24" t="s">
        <v>120</v>
      </c>
      <c r="K24" s="7">
        <v>0.8</v>
      </c>
      <c r="L24" s="11">
        <v>0.82</v>
      </c>
      <c r="M24" s="7">
        <v>0.98</v>
      </c>
      <c r="N24" t="s">
        <v>55</v>
      </c>
      <c r="O24" t="s">
        <v>56</v>
      </c>
      <c r="P24" t="s">
        <v>63</v>
      </c>
      <c r="Q24" t="s">
        <v>64</v>
      </c>
      <c r="R24" t="s">
        <v>181</v>
      </c>
      <c r="S24" s="12">
        <v>46225.5833333333</v>
      </c>
      <c r="T24" s="12">
        <v>46225.6241666667</v>
      </c>
      <c r="U24" s="12">
        <v>46225.6970833333</v>
      </c>
      <c r="V24" t="s">
        <v>170</v>
      </c>
      <c r="W24" s="7">
        <v>0.98</v>
      </c>
      <c r="X24" s="7">
        <v>0</v>
      </c>
      <c r="Y24" s="8">
        <v>24.5</v>
      </c>
      <c r="Z24" s="8">
        <v>11</v>
      </c>
      <c r="AA24" s="8">
        <v>0.5</v>
      </c>
      <c r="AB24" s="8">
        <v>5</v>
      </c>
      <c r="AC24" s="8">
        <v>41</v>
      </c>
      <c r="AD24" s="8">
        <v>59.45</v>
      </c>
      <c r="AE24" s="8">
        <v>18.45</v>
      </c>
      <c r="AF24" t="s">
        <v>20</v>
      </c>
    </row>
    <row r="25" spans="1:32">
      <c r="A25" t="s">
        <v>229</v>
      </c>
      <c r="B25" s="10">
        <v>46223</v>
      </c>
      <c r="C25">
        <v>30</v>
      </c>
      <c r="D25" t="s">
        <v>188</v>
      </c>
      <c r="E25" t="s">
        <v>230</v>
      </c>
      <c r="F25" t="s">
        <v>128</v>
      </c>
      <c r="G25" t="s">
        <v>101</v>
      </c>
      <c r="H25" t="s">
        <v>131</v>
      </c>
      <c r="I25">
        <v>40000</v>
      </c>
      <c r="J25" t="s">
        <v>111</v>
      </c>
      <c r="K25" s="7">
        <v>6.06</v>
      </c>
      <c r="L25" s="11">
        <v>0.82</v>
      </c>
      <c r="M25" s="7">
        <v>7.39</v>
      </c>
      <c r="N25" t="s">
        <v>50</v>
      </c>
      <c r="O25" t="s">
        <v>51</v>
      </c>
      <c r="P25" t="s">
        <v>63</v>
      </c>
      <c r="Q25" t="s">
        <v>64</v>
      </c>
      <c r="R25" t="s">
        <v>184</v>
      </c>
      <c r="S25" s="12">
        <v>46223.6458333333</v>
      </c>
      <c r="T25" s="12">
        <v>46223.95375</v>
      </c>
      <c r="U25" s="12">
        <v>46224.0266666667</v>
      </c>
      <c r="V25" t="s">
        <v>170</v>
      </c>
      <c r="W25" s="7">
        <v>4.39</v>
      </c>
      <c r="X25" s="7">
        <v>3</v>
      </c>
      <c r="Y25" s="8">
        <v>184.75</v>
      </c>
      <c r="Z25" s="8">
        <v>11</v>
      </c>
      <c r="AA25" s="8">
        <v>0.5</v>
      </c>
      <c r="AB25" s="8">
        <v>5</v>
      </c>
      <c r="AC25" s="8">
        <v>201.25</v>
      </c>
      <c r="AD25" s="8">
        <v>291.81</v>
      </c>
      <c r="AE25" s="8">
        <v>90.56</v>
      </c>
      <c r="AF25" t="s">
        <v>20</v>
      </c>
    </row>
    <row r="26" spans="1:32">
      <c r="A26" t="s">
        <v>231</v>
      </c>
      <c r="B26" s="10">
        <v>46226</v>
      </c>
      <c r="C26">
        <v>30</v>
      </c>
      <c r="D26" t="s">
        <v>188</v>
      </c>
      <c r="E26" t="s">
        <v>232</v>
      </c>
      <c r="F26" t="s">
        <v>128</v>
      </c>
      <c r="G26" t="s">
        <v>92</v>
      </c>
      <c r="H26" t="s">
        <v>130</v>
      </c>
      <c r="I26">
        <v>40000</v>
      </c>
      <c r="J26" t="s">
        <v>111</v>
      </c>
      <c r="K26" s="7">
        <v>4.76</v>
      </c>
      <c r="L26" s="11">
        <v>0.82</v>
      </c>
      <c r="M26" s="7">
        <v>5.8</v>
      </c>
      <c r="N26" t="s">
        <v>59</v>
      </c>
      <c r="O26" t="s">
        <v>60</v>
      </c>
      <c r="P26" t="s">
        <v>63</v>
      </c>
      <c r="Q26" t="s">
        <v>64</v>
      </c>
      <c r="R26" t="s">
        <v>164</v>
      </c>
      <c r="S26" s="12">
        <v>46226.3333333333</v>
      </c>
      <c r="T26" s="12">
        <v>46226.6166666667</v>
      </c>
      <c r="U26" s="12">
        <v>46226.6895833333</v>
      </c>
      <c r="V26" t="s">
        <v>6</v>
      </c>
      <c r="W26" s="7">
        <v>5.8</v>
      </c>
      <c r="X26" s="7">
        <v>0</v>
      </c>
      <c r="Y26" s="8">
        <v>145</v>
      </c>
      <c r="Z26" s="8">
        <v>11</v>
      </c>
      <c r="AA26" s="8">
        <v>0.5</v>
      </c>
      <c r="AB26" s="8">
        <v>5</v>
      </c>
      <c r="AC26" s="8">
        <v>161.5</v>
      </c>
      <c r="AD26" s="8">
        <v>234.17</v>
      </c>
      <c r="AE26" s="8">
        <v>72.67</v>
      </c>
      <c r="AF26" t="s">
        <v>20</v>
      </c>
    </row>
    <row r="27" spans="1:32">
      <c r="A27" t="s">
        <v>233</v>
      </c>
      <c r="B27" s="10">
        <v>46219</v>
      </c>
      <c r="C27">
        <v>29</v>
      </c>
      <c r="D27" t="s">
        <v>224</v>
      </c>
      <c r="E27" t="s">
        <v>234</v>
      </c>
      <c r="F27" t="s">
        <v>128</v>
      </c>
      <c r="G27" t="s">
        <v>96</v>
      </c>
      <c r="H27" t="s">
        <v>130</v>
      </c>
      <c r="I27">
        <v>50000</v>
      </c>
      <c r="J27" t="s">
        <v>113</v>
      </c>
      <c r="K27" s="7">
        <v>3.61</v>
      </c>
      <c r="L27" s="11">
        <v>0.82</v>
      </c>
      <c r="M27" s="7">
        <v>4.4</v>
      </c>
      <c r="N27" t="s">
        <v>53</v>
      </c>
      <c r="O27" t="s">
        <v>54</v>
      </c>
      <c r="P27" t="s">
        <v>66</v>
      </c>
      <c r="Q27" t="s">
        <v>67</v>
      </c>
      <c r="R27" t="s">
        <v>169</v>
      </c>
      <c r="S27" s="12">
        <v>46219.4166666667</v>
      </c>
      <c r="T27" s="12">
        <v>46219.6416666667</v>
      </c>
      <c r="U27" s="12">
        <v>46219.7145833333</v>
      </c>
      <c r="V27" t="s">
        <v>201</v>
      </c>
      <c r="W27" s="7">
        <v>4.4</v>
      </c>
      <c r="X27" s="7">
        <v>0</v>
      </c>
      <c r="Y27" s="8">
        <v>110</v>
      </c>
      <c r="Z27" s="8">
        <v>11</v>
      </c>
      <c r="AA27" s="8">
        <v>0.5</v>
      </c>
      <c r="AB27" s="8">
        <v>5</v>
      </c>
      <c r="AC27" s="8">
        <v>126.5</v>
      </c>
      <c r="AD27" s="8">
        <v>183.42</v>
      </c>
      <c r="AE27" s="8">
        <v>56.92</v>
      </c>
      <c r="AF27" t="s">
        <v>20</v>
      </c>
    </row>
    <row r="28" spans="1:32">
      <c r="A28" t="s">
        <v>235</v>
      </c>
      <c r="B28" s="10">
        <v>46218</v>
      </c>
      <c r="C28">
        <v>29</v>
      </c>
      <c r="D28" t="s">
        <v>207</v>
      </c>
      <c r="E28" t="s">
        <v>236</v>
      </c>
      <c r="F28" t="s">
        <v>128</v>
      </c>
      <c r="G28" t="s">
        <v>99</v>
      </c>
      <c r="H28" t="s">
        <v>130</v>
      </c>
      <c r="I28">
        <v>95000</v>
      </c>
      <c r="J28" t="s">
        <v>122</v>
      </c>
      <c r="K28" s="7">
        <v>0.5</v>
      </c>
      <c r="L28" s="11">
        <v>0.82</v>
      </c>
      <c r="M28" s="7">
        <v>0.61</v>
      </c>
      <c r="N28" t="s">
        <v>53</v>
      </c>
      <c r="O28" t="s">
        <v>54</v>
      </c>
      <c r="P28" t="s">
        <v>66</v>
      </c>
      <c r="Q28" t="s">
        <v>67</v>
      </c>
      <c r="R28" t="s">
        <v>174</v>
      </c>
      <c r="S28" s="12">
        <v>46218.5833333333</v>
      </c>
      <c r="T28" s="12">
        <v>46218.60875</v>
      </c>
      <c r="U28" s="12">
        <v>46218.6816666667</v>
      </c>
      <c r="V28" t="s">
        <v>170</v>
      </c>
      <c r="W28" s="7">
        <v>0.61</v>
      </c>
      <c r="X28" s="7">
        <v>0</v>
      </c>
      <c r="Y28" s="8">
        <v>15.25</v>
      </c>
      <c r="Z28" s="8">
        <v>11</v>
      </c>
      <c r="AA28" s="8">
        <v>0.5</v>
      </c>
      <c r="AB28" s="8">
        <v>5</v>
      </c>
      <c r="AC28" s="8">
        <v>31.75</v>
      </c>
      <c r="AD28" s="8">
        <v>46.04</v>
      </c>
      <c r="AE28" s="8">
        <v>14.29</v>
      </c>
      <c r="AF28" t="s">
        <v>20</v>
      </c>
    </row>
    <row r="29" spans="1:32">
      <c r="A29" t="s">
        <v>237</v>
      </c>
      <c r="B29" s="10">
        <v>46226</v>
      </c>
      <c r="C29">
        <v>30</v>
      </c>
      <c r="D29" t="s">
        <v>162</v>
      </c>
      <c r="E29" t="s">
        <v>238</v>
      </c>
      <c r="F29" t="s">
        <v>128</v>
      </c>
      <c r="G29" t="s">
        <v>90</v>
      </c>
      <c r="H29" t="s">
        <v>130</v>
      </c>
      <c r="I29">
        <v>60000</v>
      </c>
      <c r="J29" t="s">
        <v>115</v>
      </c>
      <c r="K29" s="7">
        <v>8.19</v>
      </c>
      <c r="L29" s="11">
        <v>0.82</v>
      </c>
      <c r="M29" s="7">
        <v>9.99</v>
      </c>
      <c r="N29" t="s">
        <v>61</v>
      </c>
      <c r="O29" t="s">
        <v>62</v>
      </c>
      <c r="P29" t="s">
        <v>66</v>
      </c>
      <c r="Q29" t="s">
        <v>67</v>
      </c>
      <c r="R29" t="s">
        <v>178</v>
      </c>
      <c r="S29" s="12">
        <v>46226.6458333333</v>
      </c>
      <c r="T29" s="12">
        <v>46227.0620833333</v>
      </c>
      <c r="U29" s="12">
        <v>46227.135</v>
      </c>
      <c r="V29" t="s">
        <v>6</v>
      </c>
      <c r="W29" s="7">
        <v>6.99</v>
      </c>
      <c r="X29" s="7">
        <v>3</v>
      </c>
      <c r="Y29" s="8">
        <v>249.75</v>
      </c>
      <c r="Z29" s="8">
        <v>11</v>
      </c>
      <c r="AA29" s="8">
        <v>0.5</v>
      </c>
      <c r="AB29" s="8">
        <v>5</v>
      </c>
      <c r="AC29" s="8">
        <v>266.25</v>
      </c>
      <c r="AD29" s="8">
        <v>386.06</v>
      </c>
      <c r="AE29" s="8">
        <v>119.81</v>
      </c>
      <c r="AF29" t="s">
        <v>20</v>
      </c>
    </row>
    <row r="30" spans="1:32">
      <c r="A30" t="s">
        <v>239</v>
      </c>
      <c r="B30" s="10">
        <v>46230</v>
      </c>
      <c r="C30">
        <v>31</v>
      </c>
      <c r="D30" t="s">
        <v>188</v>
      </c>
      <c r="E30" t="s">
        <v>240</v>
      </c>
      <c r="F30" t="s">
        <v>128</v>
      </c>
      <c r="G30" t="s">
        <v>81</v>
      </c>
      <c r="H30" t="s">
        <v>129</v>
      </c>
      <c r="I30">
        <v>35000</v>
      </c>
      <c r="J30" t="s">
        <v>110</v>
      </c>
      <c r="K30" s="7">
        <v>0.5</v>
      </c>
      <c r="L30" s="11">
        <v>0.82</v>
      </c>
      <c r="M30" s="7">
        <v>0.61</v>
      </c>
      <c r="N30" t="s">
        <v>57</v>
      </c>
      <c r="O30" t="s">
        <v>58</v>
      </c>
      <c r="P30" t="s">
        <v>66</v>
      </c>
      <c r="Q30" t="s">
        <v>67</v>
      </c>
      <c r="R30" t="s">
        <v>181</v>
      </c>
      <c r="S30" s="12">
        <v>46230.3333333333</v>
      </c>
      <c r="T30" s="12">
        <v>46230.35875</v>
      </c>
      <c r="U30" s="12">
        <v>46230.4316666667</v>
      </c>
      <c r="V30" t="s">
        <v>170</v>
      </c>
      <c r="W30" s="7">
        <v>0.61</v>
      </c>
      <c r="X30" s="7">
        <v>0</v>
      </c>
      <c r="Y30" s="8">
        <v>15.25</v>
      </c>
      <c r="Z30" s="8">
        <v>11</v>
      </c>
      <c r="AA30" s="8">
        <v>0.5</v>
      </c>
      <c r="AB30" s="8">
        <v>5</v>
      </c>
      <c r="AC30" s="8">
        <v>31.75</v>
      </c>
      <c r="AD30" s="8">
        <v>46.04</v>
      </c>
      <c r="AE30" s="8">
        <v>14.29</v>
      </c>
      <c r="AF30" t="s">
        <v>20</v>
      </c>
    </row>
    <row r="31" spans="1:32">
      <c r="A31" t="s">
        <v>241</v>
      </c>
      <c r="B31" s="10">
        <v>46225</v>
      </c>
      <c r="C31">
        <v>30</v>
      </c>
      <c r="D31" t="s">
        <v>212</v>
      </c>
      <c r="E31" t="s">
        <v>242</v>
      </c>
      <c r="F31" t="s">
        <v>128</v>
      </c>
      <c r="G31" t="s">
        <v>83</v>
      </c>
      <c r="H31" t="s">
        <v>130</v>
      </c>
      <c r="I31">
        <v>65000</v>
      </c>
      <c r="J31" t="s">
        <v>116</v>
      </c>
      <c r="K31" s="7">
        <v>0.5</v>
      </c>
      <c r="L31" s="11">
        <v>0.82</v>
      </c>
      <c r="M31" s="7">
        <v>0.61</v>
      </c>
      <c r="N31" t="s">
        <v>57</v>
      </c>
      <c r="O31" t="s">
        <v>58</v>
      </c>
      <c r="P31" t="s">
        <v>66</v>
      </c>
      <c r="Q31" t="s">
        <v>67</v>
      </c>
      <c r="R31" t="s">
        <v>184</v>
      </c>
      <c r="S31" s="12">
        <v>46225.4166666667</v>
      </c>
      <c r="T31" s="12">
        <v>46225.4420833333</v>
      </c>
      <c r="U31" s="12">
        <v>46225.515</v>
      </c>
      <c r="V31" t="s">
        <v>6</v>
      </c>
      <c r="W31" s="7">
        <v>0.61</v>
      </c>
      <c r="X31" s="7">
        <v>0</v>
      </c>
      <c r="Y31" s="8">
        <v>15.25</v>
      </c>
      <c r="Z31" s="8">
        <v>11</v>
      </c>
      <c r="AA31" s="8">
        <v>0.5</v>
      </c>
      <c r="AB31" s="8">
        <v>5</v>
      </c>
      <c r="AC31" s="8">
        <v>31.75</v>
      </c>
      <c r="AD31" s="8">
        <v>46.04</v>
      </c>
      <c r="AE31" s="8">
        <v>14.29</v>
      </c>
      <c r="AF31" t="s">
        <v>20</v>
      </c>
    </row>
    <row r="32" spans="1:32">
      <c r="A32" t="s">
        <v>243</v>
      </c>
      <c r="B32" s="10">
        <v>46224</v>
      </c>
      <c r="C32">
        <v>30</v>
      </c>
      <c r="D32" t="s">
        <v>224</v>
      </c>
      <c r="E32" t="s">
        <v>244</v>
      </c>
      <c r="F32" t="s">
        <v>128</v>
      </c>
      <c r="G32" t="s">
        <v>95</v>
      </c>
      <c r="H32" t="s">
        <v>130</v>
      </c>
      <c r="I32">
        <v>85000</v>
      </c>
      <c r="J32" t="s">
        <v>120</v>
      </c>
      <c r="K32" s="7">
        <v>0.6</v>
      </c>
      <c r="L32" s="11">
        <v>0.82</v>
      </c>
      <c r="M32" s="7">
        <v>0.73</v>
      </c>
      <c r="N32" t="s">
        <v>57</v>
      </c>
      <c r="O32" t="s">
        <v>58</v>
      </c>
      <c r="P32" t="s">
        <v>66</v>
      </c>
      <c r="Q32" t="s">
        <v>67</v>
      </c>
      <c r="R32" t="s">
        <v>164</v>
      </c>
      <c r="S32" s="12">
        <v>46224.5833333333</v>
      </c>
      <c r="T32" s="12">
        <v>46224.61375</v>
      </c>
      <c r="U32" s="12">
        <v>46224.6866666667</v>
      </c>
      <c r="V32" t="s">
        <v>201</v>
      </c>
      <c r="W32" s="7">
        <v>0.73</v>
      </c>
      <c r="X32" s="7">
        <v>0</v>
      </c>
      <c r="Y32" s="8">
        <v>18.25</v>
      </c>
      <c r="Z32" s="8">
        <v>11</v>
      </c>
      <c r="AA32" s="8">
        <v>0.5</v>
      </c>
      <c r="AB32" s="8">
        <v>5</v>
      </c>
      <c r="AC32" s="8">
        <v>34.75</v>
      </c>
      <c r="AD32" s="8">
        <v>50.39</v>
      </c>
      <c r="AE32" s="8">
        <v>15.64</v>
      </c>
      <c r="AF32" t="s">
        <v>20</v>
      </c>
    </row>
    <row r="33" spans="1:32">
      <c r="A33" t="s">
        <v>245</v>
      </c>
      <c r="B33" s="10">
        <v>46226</v>
      </c>
      <c r="C33">
        <v>30</v>
      </c>
      <c r="D33" t="s">
        <v>176</v>
      </c>
      <c r="E33" t="s">
        <v>246</v>
      </c>
      <c r="F33" t="s">
        <v>128</v>
      </c>
      <c r="G33" t="s">
        <v>82</v>
      </c>
      <c r="H33" t="s">
        <v>130</v>
      </c>
      <c r="I33">
        <v>5000</v>
      </c>
      <c r="J33" t="s">
        <v>104</v>
      </c>
      <c r="K33" s="7">
        <v>0.5</v>
      </c>
      <c r="L33" s="11">
        <v>0.82</v>
      </c>
      <c r="M33" s="7">
        <v>0.61</v>
      </c>
      <c r="N33" t="s">
        <v>50</v>
      </c>
      <c r="O33" t="s">
        <v>51</v>
      </c>
      <c r="P33" t="s">
        <v>63</v>
      </c>
      <c r="Q33" t="s">
        <v>64</v>
      </c>
      <c r="R33" t="s">
        <v>169</v>
      </c>
      <c r="S33" s="12">
        <v>46226.6458333333</v>
      </c>
      <c r="T33" s="12">
        <v>46226.67125</v>
      </c>
      <c r="U33" s="12">
        <v>46226.7441666667</v>
      </c>
      <c r="V33" t="s">
        <v>170</v>
      </c>
      <c r="W33" s="7">
        <v>0.61</v>
      </c>
      <c r="X33" s="7">
        <v>0</v>
      </c>
      <c r="Y33" s="8">
        <v>15.25</v>
      </c>
      <c r="Z33" s="8">
        <v>11</v>
      </c>
      <c r="AA33" s="8">
        <v>0.5</v>
      </c>
      <c r="AB33" s="8">
        <v>5</v>
      </c>
      <c r="AC33" s="8">
        <v>31.75</v>
      </c>
      <c r="AD33" s="8">
        <v>46.04</v>
      </c>
      <c r="AE33" s="8">
        <v>14.29</v>
      </c>
      <c r="AF33" t="s">
        <v>20</v>
      </c>
    </row>
    <row r="34" spans="1:32">
      <c r="A34" t="s">
        <v>247</v>
      </c>
      <c r="B34" s="10">
        <v>46226</v>
      </c>
      <c r="C34">
        <v>30</v>
      </c>
      <c r="D34" t="s">
        <v>207</v>
      </c>
      <c r="E34" t="s">
        <v>248</v>
      </c>
      <c r="F34" t="s">
        <v>128</v>
      </c>
      <c r="G34" t="s">
        <v>97</v>
      </c>
      <c r="H34" t="s">
        <v>130</v>
      </c>
      <c r="I34">
        <v>45000</v>
      </c>
      <c r="J34" t="s">
        <v>112</v>
      </c>
      <c r="K34" s="7">
        <v>0.85</v>
      </c>
      <c r="L34" s="11">
        <v>0.82</v>
      </c>
      <c r="M34" s="7">
        <v>1.04</v>
      </c>
      <c r="N34" t="s">
        <v>55</v>
      </c>
      <c r="O34" t="s">
        <v>56</v>
      </c>
      <c r="P34" t="s">
        <v>66</v>
      </c>
      <c r="Q34" t="s">
        <v>67</v>
      </c>
      <c r="R34" t="s">
        <v>174</v>
      </c>
      <c r="S34" s="12">
        <v>46226.3333333333</v>
      </c>
      <c r="T34" s="12">
        <v>46226.3766666667</v>
      </c>
      <c r="U34" s="12">
        <v>46226.4495833333</v>
      </c>
      <c r="V34" t="s">
        <v>6</v>
      </c>
      <c r="W34" s="7">
        <v>1.04</v>
      </c>
      <c r="X34" s="7">
        <v>0</v>
      </c>
      <c r="Y34" s="8">
        <v>26</v>
      </c>
      <c r="Z34" s="8">
        <v>11</v>
      </c>
      <c r="AA34" s="8">
        <v>0.5</v>
      </c>
      <c r="AB34" s="8">
        <v>5</v>
      </c>
      <c r="AC34" s="8">
        <v>42.5</v>
      </c>
      <c r="AD34" s="8">
        <v>61.62</v>
      </c>
      <c r="AE34" s="8">
        <v>19.12</v>
      </c>
      <c r="AF34" t="s">
        <v>20</v>
      </c>
    </row>
    <row r="35" spans="1:32">
      <c r="A35" t="s">
        <v>249</v>
      </c>
      <c r="B35" s="10">
        <v>46216</v>
      </c>
      <c r="C35">
        <v>29</v>
      </c>
      <c r="D35" t="s">
        <v>227</v>
      </c>
      <c r="E35" t="s">
        <v>250</v>
      </c>
      <c r="F35" t="s">
        <v>128</v>
      </c>
      <c r="G35" t="s">
        <v>82</v>
      </c>
      <c r="H35" t="s">
        <v>130</v>
      </c>
      <c r="I35">
        <v>40000</v>
      </c>
      <c r="J35" t="s">
        <v>111</v>
      </c>
      <c r="K35" s="7">
        <v>3.79</v>
      </c>
      <c r="L35" s="11">
        <v>0.82</v>
      </c>
      <c r="M35" s="7">
        <v>4.62</v>
      </c>
      <c r="N35" t="s">
        <v>55</v>
      </c>
      <c r="O35" t="s">
        <v>56</v>
      </c>
      <c r="P35" t="s">
        <v>63</v>
      </c>
      <c r="Q35" t="s">
        <v>64</v>
      </c>
      <c r="R35" t="s">
        <v>178</v>
      </c>
      <c r="S35" s="12">
        <v>46216.4166666667</v>
      </c>
      <c r="T35" s="12">
        <v>46216.6508333333</v>
      </c>
      <c r="U35" s="12">
        <v>46216.72375</v>
      </c>
      <c r="V35" t="s">
        <v>170</v>
      </c>
      <c r="W35" s="7">
        <v>4.62</v>
      </c>
      <c r="X35" s="7">
        <v>0</v>
      </c>
      <c r="Y35" s="8">
        <v>115.5</v>
      </c>
      <c r="Z35" s="8">
        <v>11</v>
      </c>
      <c r="AA35" s="8">
        <v>0.5</v>
      </c>
      <c r="AB35" s="8">
        <v>5</v>
      </c>
      <c r="AC35" s="8">
        <v>132</v>
      </c>
      <c r="AD35" s="8">
        <v>191.4</v>
      </c>
      <c r="AE35" s="8">
        <v>59.4</v>
      </c>
      <c r="AF35" t="s">
        <v>20</v>
      </c>
    </row>
    <row r="36" spans="1:32">
      <c r="A36" t="s">
        <v>251</v>
      </c>
      <c r="B36" s="10">
        <v>46226</v>
      </c>
      <c r="C36">
        <v>30</v>
      </c>
      <c r="D36" t="s">
        <v>252</v>
      </c>
      <c r="E36" t="s">
        <v>253</v>
      </c>
      <c r="F36" t="s">
        <v>128</v>
      </c>
      <c r="G36" t="s">
        <v>90</v>
      </c>
      <c r="H36" t="s">
        <v>130</v>
      </c>
      <c r="I36">
        <v>70000</v>
      </c>
      <c r="J36" t="s">
        <v>117</v>
      </c>
      <c r="K36" s="7">
        <v>3.09</v>
      </c>
      <c r="L36" s="11">
        <v>0.82</v>
      </c>
      <c r="M36" s="7">
        <v>3.77</v>
      </c>
      <c r="N36" t="s">
        <v>50</v>
      </c>
      <c r="O36" t="s">
        <v>51</v>
      </c>
      <c r="P36" t="s">
        <v>63</v>
      </c>
      <c r="Q36" t="s">
        <v>64</v>
      </c>
      <c r="R36" t="s">
        <v>181</v>
      </c>
      <c r="S36" s="12">
        <v>46226.5833333333</v>
      </c>
      <c r="T36" s="12">
        <v>46226.7404166667</v>
      </c>
      <c r="U36" s="12">
        <v>46226.8133333333</v>
      </c>
      <c r="V36" t="s">
        <v>170</v>
      </c>
      <c r="W36" s="7">
        <v>3.5</v>
      </c>
      <c r="X36" s="7">
        <v>0.27</v>
      </c>
      <c r="Y36" s="8">
        <v>94.25</v>
      </c>
      <c r="Z36" s="8">
        <v>11</v>
      </c>
      <c r="AA36" s="8">
        <v>0.5</v>
      </c>
      <c r="AB36" s="8">
        <v>5</v>
      </c>
      <c r="AC36" s="8">
        <v>110.75</v>
      </c>
      <c r="AD36" s="8">
        <v>160.59</v>
      </c>
      <c r="AE36" s="8">
        <v>49.84</v>
      </c>
      <c r="AF36" t="s">
        <v>20</v>
      </c>
    </row>
    <row r="37" spans="1:32">
      <c r="A37" t="s">
        <v>254</v>
      </c>
      <c r="B37" s="10">
        <v>46217</v>
      </c>
      <c r="C37">
        <v>29</v>
      </c>
      <c r="D37" t="s">
        <v>212</v>
      </c>
      <c r="E37" t="s">
        <v>255</v>
      </c>
      <c r="F37" t="s">
        <v>128</v>
      </c>
      <c r="G37" t="s">
        <v>85</v>
      </c>
      <c r="H37" t="s">
        <v>130</v>
      </c>
      <c r="I37">
        <v>5000</v>
      </c>
      <c r="J37" t="s">
        <v>104</v>
      </c>
      <c r="K37" s="7">
        <v>0.5</v>
      </c>
      <c r="L37" s="11">
        <v>0.82</v>
      </c>
      <c r="M37" s="7">
        <v>0.61</v>
      </c>
      <c r="N37" t="s">
        <v>57</v>
      </c>
      <c r="O37" t="s">
        <v>58</v>
      </c>
      <c r="P37" t="s">
        <v>66</v>
      </c>
      <c r="Q37" t="s">
        <v>67</v>
      </c>
      <c r="R37" t="s">
        <v>184</v>
      </c>
      <c r="S37" s="12">
        <v>46217.6458333333</v>
      </c>
      <c r="T37" s="12">
        <v>46217.67125</v>
      </c>
      <c r="U37" s="12">
        <v>46217.7441666667</v>
      </c>
      <c r="V37" t="s">
        <v>6</v>
      </c>
      <c r="W37" s="7">
        <v>0.61</v>
      </c>
      <c r="X37" s="7">
        <v>0</v>
      </c>
      <c r="Y37" s="8">
        <v>15.25</v>
      </c>
      <c r="Z37" s="8">
        <v>11</v>
      </c>
      <c r="AA37" s="8">
        <v>0.5</v>
      </c>
      <c r="AB37" s="8">
        <v>5</v>
      </c>
      <c r="AC37" s="8">
        <v>31.75</v>
      </c>
      <c r="AD37" s="8">
        <v>46.04</v>
      </c>
      <c r="AE37" s="8">
        <v>14.29</v>
      </c>
      <c r="AF37" t="s">
        <v>20</v>
      </c>
    </row>
    <row r="38" spans="1:32">
      <c r="A38" t="s">
        <v>256</v>
      </c>
      <c r="B38" s="10">
        <v>46227</v>
      </c>
      <c r="C38">
        <v>30</v>
      </c>
      <c r="D38" t="s">
        <v>227</v>
      </c>
      <c r="E38" t="s">
        <v>257</v>
      </c>
      <c r="F38" t="s">
        <v>128</v>
      </c>
      <c r="G38" t="s">
        <v>86</v>
      </c>
      <c r="H38" t="s">
        <v>130</v>
      </c>
      <c r="I38">
        <v>40000</v>
      </c>
      <c r="J38" t="s">
        <v>111</v>
      </c>
      <c r="K38" s="7">
        <v>4.66</v>
      </c>
      <c r="L38" s="11">
        <v>0.82</v>
      </c>
      <c r="M38" s="7">
        <v>5.68</v>
      </c>
      <c r="N38" t="s">
        <v>53</v>
      </c>
      <c r="O38" t="s">
        <v>54</v>
      </c>
      <c r="P38" t="s">
        <v>66</v>
      </c>
      <c r="Q38" t="s">
        <v>67</v>
      </c>
      <c r="R38" t="s">
        <v>164</v>
      </c>
      <c r="S38" s="12">
        <v>46227.3333333333</v>
      </c>
      <c r="T38" s="12">
        <v>46227.6116666667</v>
      </c>
      <c r="U38" s="12">
        <v>46227.6845833333</v>
      </c>
      <c r="V38" t="s">
        <v>165</v>
      </c>
      <c r="W38" s="7">
        <v>5.68</v>
      </c>
      <c r="X38" s="7">
        <v>0</v>
      </c>
      <c r="Y38" s="8">
        <v>142</v>
      </c>
      <c r="Z38" s="8">
        <v>11</v>
      </c>
      <c r="AA38" s="8">
        <v>0.5</v>
      </c>
      <c r="AB38" s="8">
        <v>5</v>
      </c>
      <c r="AC38" s="8">
        <v>158.5</v>
      </c>
      <c r="AD38" s="8">
        <v>229.82</v>
      </c>
      <c r="AE38" s="8">
        <v>71.32</v>
      </c>
      <c r="AF38" t="s">
        <v>20</v>
      </c>
    </row>
    <row r="39" spans="1:32">
      <c r="A39" t="s">
        <v>258</v>
      </c>
      <c r="B39" s="10">
        <v>46224</v>
      </c>
      <c r="C39">
        <v>30</v>
      </c>
      <c r="D39" t="s">
        <v>188</v>
      </c>
      <c r="E39" t="s">
        <v>259</v>
      </c>
      <c r="F39" t="s">
        <v>128</v>
      </c>
      <c r="G39" t="s">
        <v>80</v>
      </c>
      <c r="H39" t="s">
        <v>127</v>
      </c>
      <c r="I39">
        <v>5000</v>
      </c>
      <c r="J39" t="s">
        <v>104</v>
      </c>
      <c r="K39" s="7">
        <v>0.5</v>
      </c>
      <c r="L39" s="11">
        <v>0.82</v>
      </c>
      <c r="M39" s="7">
        <v>0.61</v>
      </c>
      <c r="N39" t="s">
        <v>59</v>
      </c>
      <c r="O39" t="s">
        <v>60</v>
      </c>
      <c r="P39" t="s">
        <v>63</v>
      </c>
      <c r="Q39" t="s">
        <v>64</v>
      </c>
      <c r="R39" t="s">
        <v>169</v>
      </c>
      <c r="S39" s="12">
        <v>46224.4166666667</v>
      </c>
      <c r="T39" s="12">
        <v>46224.4420833333</v>
      </c>
      <c r="U39" s="12">
        <v>46224.515</v>
      </c>
      <c r="V39" t="s">
        <v>170</v>
      </c>
      <c r="W39" s="7">
        <v>0.61</v>
      </c>
      <c r="X39" s="7">
        <v>0</v>
      </c>
      <c r="Y39" s="8">
        <v>15.25</v>
      </c>
      <c r="Z39" s="8">
        <v>11</v>
      </c>
      <c r="AA39" s="8">
        <v>0.5</v>
      </c>
      <c r="AB39" s="8">
        <v>5</v>
      </c>
      <c r="AC39" s="8">
        <v>31.75</v>
      </c>
      <c r="AD39" s="8">
        <v>46.04</v>
      </c>
      <c r="AE39" s="8">
        <v>14.29</v>
      </c>
      <c r="AF39" t="s">
        <v>20</v>
      </c>
    </row>
    <row r="40" spans="1:32">
      <c r="A40" t="s">
        <v>260</v>
      </c>
      <c r="B40" s="10">
        <v>46230</v>
      </c>
      <c r="C40">
        <v>31</v>
      </c>
      <c r="D40" t="s">
        <v>224</v>
      </c>
      <c r="E40" t="s">
        <v>261</v>
      </c>
      <c r="F40" t="s">
        <v>128</v>
      </c>
      <c r="G40" t="s">
        <v>82</v>
      </c>
      <c r="H40" t="s">
        <v>130</v>
      </c>
      <c r="I40">
        <v>55000</v>
      </c>
      <c r="J40" t="s">
        <v>114</v>
      </c>
      <c r="K40" s="7">
        <v>0.5</v>
      </c>
      <c r="L40" s="11">
        <v>0.82</v>
      </c>
      <c r="M40" s="7">
        <v>0.61</v>
      </c>
      <c r="N40" t="s">
        <v>59</v>
      </c>
      <c r="O40" t="s">
        <v>60</v>
      </c>
      <c r="P40" t="s">
        <v>63</v>
      </c>
      <c r="Q40" t="s">
        <v>64</v>
      </c>
      <c r="R40" t="s">
        <v>174</v>
      </c>
      <c r="S40" s="12">
        <v>46230.5833333333</v>
      </c>
      <c r="T40" s="12">
        <v>46230.60875</v>
      </c>
      <c r="U40" s="12">
        <v>46230.6816666667</v>
      </c>
      <c r="V40" t="s">
        <v>201</v>
      </c>
      <c r="W40" s="7">
        <v>0.61</v>
      </c>
      <c r="X40" s="7">
        <v>0</v>
      </c>
      <c r="Y40" s="8">
        <v>15.25</v>
      </c>
      <c r="Z40" s="8">
        <v>11</v>
      </c>
      <c r="AA40" s="8">
        <v>0.5</v>
      </c>
      <c r="AB40" s="8">
        <v>5</v>
      </c>
      <c r="AC40" s="8">
        <v>31.75</v>
      </c>
      <c r="AD40" s="8">
        <v>46.04</v>
      </c>
      <c r="AE40" s="8">
        <v>14.29</v>
      </c>
      <c r="AF40" t="s">
        <v>20</v>
      </c>
    </row>
    <row r="41" spans="1:32">
      <c r="A41" t="s">
        <v>262</v>
      </c>
      <c r="B41" s="10">
        <v>46227</v>
      </c>
      <c r="C41">
        <v>30</v>
      </c>
      <c r="D41" t="s">
        <v>221</v>
      </c>
      <c r="E41" t="s">
        <v>263</v>
      </c>
      <c r="F41" t="s">
        <v>128</v>
      </c>
      <c r="G41" t="s">
        <v>88</v>
      </c>
      <c r="H41" t="s">
        <v>130</v>
      </c>
      <c r="I41">
        <v>10000</v>
      </c>
      <c r="J41" t="s">
        <v>105</v>
      </c>
      <c r="K41" s="7">
        <v>3.06</v>
      </c>
      <c r="L41" s="11">
        <v>0.82</v>
      </c>
      <c r="M41" s="7">
        <v>3.73</v>
      </c>
      <c r="N41" t="s">
        <v>55</v>
      </c>
      <c r="O41" t="s">
        <v>56</v>
      </c>
      <c r="P41" t="s">
        <v>63</v>
      </c>
      <c r="Q41" t="s">
        <v>64</v>
      </c>
      <c r="R41" t="s">
        <v>178</v>
      </c>
      <c r="S41" s="12">
        <v>46227.6458333333</v>
      </c>
      <c r="T41" s="12">
        <v>46227.80125</v>
      </c>
      <c r="U41" s="12">
        <v>46227.8741666667</v>
      </c>
      <c r="V41" t="s">
        <v>165</v>
      </c>
      <c r="W41" s="7">
        <v>2</v>
      </c>
      <c r="X41" s="7">
        <v>1.73</v>
      </c>
      <c r="Y41" s="8">
        <v>93.25</v>
      </c>
      <c r="Z41" s="8">
        <v>11</v>
      </c>
      <c r="AA41" s="8">
        <v>0.5</v>
      </c>
      <c r="AB41" s="8">
        <v>5</v>
      </c>
      <c r="AC41" s="8">
        <v>109.75</v>
      </c>
      <c r="AD41" s="8">
        <v>159.14</v>
      </c>
      <c r="AE41" s="8">
        <v>49.39</v>
      </c>
      <c r="AF41" t="s">
        <v>20</v>
      </c>
    </row>
    <row r="42" spans="1:32">
      <c r="A42" t="s">
        <v>264</v>
      </c>
      <c r="B42" s="10">
        <v>46220</v>
      </c>
      <c r="C42">
        <v>29</v>
      </c>
      <c r="D42" t="s">
        <v>176</v>
      </c>
      <c r="E42" t="s">
        <v>265</v>
      </c>
      <c r="F42" t="s">
        <v>128</v>
      </c>
      <c r="G42" t="s">
        <v>96</v>
      </c>
      <c r="H42" t="s">
        <v>130</v>
      </c>
      <c r="I42">
        <v>10000</v>
      </c>
      <c r="J42" t="s">
        <v>105</v>
      </c>
      <c r="K42" s="7">
        <v>2.91</v>
      </c>
      <c r="L42" s="11">
        <v>0.82</v>
      </c>
      <c r="M42" s="7">
        <v>3.55</v>
      </c>
      <c r="N42" t="s">
        <v>55</v>
      </c>
      <c r="O42" t="s">
        <v>56</v>
      </c>
      <c r="P42" t="s">
        <v>63</v>
      </c>
      <c r="Q42" t="s">
        <v>64</v>
      </c>
      <c r="R42" t="s">
        <v>181</v>
      </c>
      <c r="S42" s="12">
        <v>46220.3333333333</v>
      </c>
      <c r="T42" s="12">
        <v>46220.48125</v>
      </c>
      <c r="U42" s="12">
        <v>46220.5541666667</v>
      </c>
      <c r="V42" t="s">
        <v>201</v>
      </c>
      <c r="W42" s="7">
        <v>3.55</v>
      </c>
      <c r="X42" s="7">
        <v>0</v>
      </c>
      <c r="Y42" s="8">
        <v>88.75</v>
      </c>
      <c r="Z42" s="8">
        <v>11</v>
      </c>
      <c r="AA42" s="8">
        <v>0.5</v>
      </c>
      <c r="AB42" s="8">
        <v>5</v>
      </c>
      <c r="AC42" s="8">
        <v>105.25</v>
      </c>
      <c r="AD42" s="8">
        <v>152.61</v>
      </c>
      <c r="AE42" s="8">
        <v>47.36</v>
      </c>
      <c r="AF42" t="s">
        <v>20</v>
      </c>
    </row>
    <row r="43" spans="1:32">
      <c r="A43" t="s">
        <v>266</v>
      </c>
      <c r="B43" s="10">
        <v>46220</v>
      </c>
      <c r="C43">
        <v>29</v>
      </c>
      <c r="D43" t="s">
        <v>172</v>
      </c>
      <c r="E43" t="s">
        <v>267</v>
      </c>
      <c r="F43" t="s">
        <v>128</v>
      </c>
      <c r="G43" t="s">
        <v>75</v>
      </c>
      <c r="H43" t="s">
        <v>127</v>
      </c>
      <c r="I43">
        <v>85000</v>
      </c>
      <c r="J43" t="s">
        <v>120</v>
      </c>
      <c r="K43" s="7">
        <v>0.5</v>
      </c>
      <c r="L43" s="11">
        <v>0.82</v>
      </c>
      <c r="M43" s="7">
        <v>0.61</v>
      </c>
      <c r="N43" t="s">
        <v>57</v>
      </c>
      <c r="O43" t="s">
        <v>58</v>
      </c>
      <c r="P43" t="s">
        <v>66</v>
      </c>
      <c r="Q43" t="s">
        <v>67</v>
      </c>
      <c r="R43" t="s">
        <v>184</v>
      </c>
      <c r="S43" s="12">
        <v>46220.4166666667</v>
      </c>
      <c r="T43" s="12">
        <v>46220.4420833333</v>
      </c>
      <c r="U43" s="12">
        <v>46220.515</v>
      </c>
      <c r="V43" t="s">
        <v>165</v>
      </c>
      <c r="W43" s="7">
        <v>0.61</v>
      </c>
      <c r="X43" s="7">
        <v>0</v>
      </c>
      <c r="Y43" s="8">
        <v>15.25</v>
      </c>
      <c r="Z43" s="8">
        <v>11</v>
      </c>
      <c r="AA43" s="8">
        <v>0.5</v>
      </c>
      <c r="AB43" s="8">
        <v>5</v>
      </c>
      <c r="AC43" s="8">
        <v>31.75</v>
      </c>
      <c r="AD43" s="8">
        <v>46.04</v>
      </c>
      <c r="AE43" s="8">
        <v>14.29</v>
      </c>
      <c r="AF43" t="s">
        <v>20</v>
      </c>
    </row>
    <row r="44" spans="1:32">
      <c r="A44" t="s">
        <v>268</v>
      </c>
      <c r="B44" s="10">
        <v>46223</v>
      </c>
      <c r="C44">
        <v>30</v>
      </c>
      <c r="D44" t="s">
        <v>207</v>
      </c>
      <c r="E44" t="s">
        <v>269</v>
      </c>
      <c r="F44" t="s">
        <v>128</v>
      </c>
      <c r="G44" t="s">
        <v>85</v>
      </c>
      <c r="H44" t="s">
        <v>130</v>
      </c>
      <c r="I44">
        <v>15000</v>
      </c>
      <c r="J44" t="s">
        <v>106</v>
      </c>
      <c r="K44" s="7">
        <v>0.7</v>
      </c>
      <c r="L44" s="11">
        <v>0.82</v>
      </c>
      <c r="M44" s="7">
        <v>0.85</v>
      </c>
      <c r="N44" t="s">
        <v>53</v>
      </c>
      <c r="O44" t="s">
        <v>54</v>
      </c>
      <c r="P44" t="s">
        <v>66</v>
      </c>
      <c r="Q44" t="s">
        <v>67</v>
      </c>
      <c r="R44" t="s">
        <v>164</v>
      </c>
      <c r="S44" s="12">
        <v>46223.5833333333</v>
      </c>
      <c r="T44" s="12">
        <v>46223.61875</v>
      </c>
      <c r="U44" s="12">
        <v>46223.6916666667</v>
      </c>
      <c r="V44" t="s">
        <v>201</v>
      </c>
      <c r="W44" s="7">
        <v>0.85</v>
      </c>
      <c r="X44" s="7">
        <v>0</v>
      </c>
      <c r="Y44" s="8">
        <v>21.25</v>
      </c>
      <c r="Z44" s="8">
        <v>11</v>
      </c>
      <c r="AA44" s="8">
        <v>0.5</v>
      </c>
      <c r="AB44" s="8">
        <v>5</v>
      </c>
      <c r="AC44" s="8">
        <v>37.75</v>
      </c>
      <c r="AD44" s="8">
        <v>54.74</v>
      </c>
      <c r="AE44" s="8">
        <v>16.99</v>
      </c>
      <c r="AF44" t="s">
        <v>20</v>
      </c>
    </row>
    <row r="45" spans="1:32">
      <c r="A45" t="s">
        <v>270</v>
      </c>
      <c r="B45" s="10">
        <v>46219</v>
      </c>
      <c r="C45">
        <v>29</v>
      </c>
      <c r="D45" t="s">
        <v>167</v>
      </c>
      <c r="E45" t="s">
        <v>271</v>
      </c>
      <c r="F45" t="s">
        <v>128</v>
      </c>
      <c r="G45" t="s">
        <v>80</v>
      </c>
      <c r="H45" t="s">
        <v>127</v>
      </c>
      <c r="I45">
        <v>10000</v>
      </c>
      <c r="J45" t="s">
        <v>105</v>
      </c>
      <c r="K45" s="7">
        <v>3.1</v>
      </c>
      <c r="L45" s="11">
        <v>0.82</v>
      </c>
      <c r="M45" s="7">
        <v>3.78</v>
      </c>
      <c r="N45" t="s">
        <v>55</v>
      </c>
      <c r="O45" t="s">
        <v>56</v>
      </c>
      <c r="P45" t="s">
        <v>63</v>
      </c>
      <c r="Q45" t="s">
        <v>64</v>
      </c>
      <c r="R45" t="s">
        <v>169</v>
      </c>
      <c r="S45" s="12">
        <v>46219.6458333333</v>
      </c>
      <c r="T45" s="12">
        <v>46219.8033333333</v>
      </c>
      <c r="U45" s="12">
        <v>46219.87625</v>
      </c>
      <c r="V45" t="s">
        <v>170</v>
      </c>
      <c r="W45" s="7">
        <v>2</v>
      </c>
      <c r="X45" s="7">
        <v>1.78</v>
      </c>
      <c r="Y45" s="8">
        <v>94.5</v>
      </c>
      <c r="Z45" s="8">
        <v>11</v>
      </c>
      <c r="AA45" s="8">
        <v>0.5</v>
      </c>
      <c r="AB45" s="8">
        <v>5</v>
      </c>
      <c r="AC45" s="8">
        <v>111</v>
      </c>
      <c r="AD45" s="8">
        <v>160.95</v>
      </c>
      <c r="AE45" s="8">
        <v>49.95</v>
      </c>
      <c r="AF45" t="s">
        <v>20</v>
      </c>
    </row>
    <row r="46" spans="1:32">
      <c r="A46" t="s">
        <v>272</v>
      </c>
      <c r="B46" s="10">
        <v>46220</v>
      </c>
      <c r="C46">
        <v>29</v>
      </c>
      <c r="D46" t="s">
        <v>207</v>
      </c>
      <c r="E46" t="s">
        <v>273</v>
      </c>
      <c r="F46" t="s">
        <v>128</v>
      </c>
      <c r="G46" t="s">
        <v>79</v>
      </c>
      <c r="H46" t="s">
        <v>127</v>
      </c>
      <c r="I46">
        <v>5000</v>
      </c>
      <c r="J46" t="s">
        <v>104</v>
      </c>
      <c r="K46" s="7">
        <v>0.7</v>
      </c>
      <c r="L46" s="11">
        <v>0.82</v>
      </c>
      <c r="M46" s="7">
        <v>0.85</v>
      </c>
      <c r="N46" t="s">
        <v>59</v>
      </c>
      <c r="O46" t="s">
        <v>60</v>
      </c>
      <c r="P46" t="s">
        <v>63</v>
      </c>
      <c r="Q46" t="s">
        <v>64</v>
      </c>
      <c r="R46" t="s">
        <v>174</v>
      </c>
      <c r="S46" s="12">
        <v>46220.3333333333</v>
      </c>
      <c r="T46" s="12">
        <v>46220.36875</v>
      </c>
      <c r="U46" s="12">
        <v>46220.4416666667</v>
      </c>
      <c r="V46" t="s">
        <v>165</v>
      </c>
      <c r="W46" s="7">
        <v>0.85</v>
      </c>
      <c r="X46" s="7">
        <v>0</v>
      </c>
      <c r="Y46" s="8">
        <v>21.25</v>
      </c>
      <c r="Z46" s="8">
        <v>11</v>
      </c>
      <c r="AA46" s="8">
        <v>0.5</v>
      </c>
      <c r="AB46" s="8">
        <v>5</v>
      </c>
      <c r="AC46" s="8">
        <v>37.75</v>
      </c>
      <c r="AD46" s="8">
        <v>54.74</v>
      </c>
      <c r="AE46" s="8">
        <v>16.99</v>
      </c>
      <c r="AF46" t="s">
        <v>20</v>
      </c>
    </row>
    <row r="47" spans="1:32">
      <c r="A47" t="s">
        <v>274</v>
      </c>
      <c r="B47" s="10">
        <v>46223</v>
      </c>
      <c r="C47">
        <v>30</v>
      </c>
      <c r="D47" t="s">
        <v>252</v>
      </c>
      <c r="E47" t="s">
        <v>275</v>
      </c>
      <c r="F47" t="s">
        <v>128</v>
      </c>
      <c r="G47" t="s">
        <v>91</v>
      </c>
      <c r="H47" t="s">
        <v>130</v>
      </c>
      <c r="I47">
        <v>1500</v>
      </c>
      <c r="J47" t="s">
        <v>103</v>
      </c>
      <c r="K47" s="7">
        <v>0.45</v>
      </c>
      <c r="L47" s="11">
        <v>0.82</v>
      </c>
      <c r="M47" s="7">
        <v>0.55</v>
      </c>
      <c r="N47" t="s">
        <v>55</v>
      </c>
      <c r="O47" t="s">
        <v>56</v>
      </c>
      <c r="P47" t="s">
        <v>63</v>
      </c>
      <c r="Q47" t="s">
        <v>64</v>
      </c>
      <c r="R47" t="s">
        <v>178</v>
      </c>
      <c r="S47" s="12">
        <v>46223.4166666667</v>
      </c>
      <c r="T47" s="12">
        <v>46223.4395833333</v>
      </c>
      <c r="U47" s="12">
        <v>46223.5125</v>
      </c>
      <c r="V47" t="s">
        <v>165</v>
      </c>
      <c r="W47" s="7">
        <v>0.55</v>
      </c>
      <c r="X47" s="7">
        <v>0</v>
      </c>
      <c r="Y47" s="8">
        <v>13.75</v>
      </c>
      <c r="Z47" s="8">
        <v>11</v>
      </c>
      <c r="AA47" s="8">
        <v>0.5</v>
      </c>
      <c r="AB47" s="8">
        <v>5</v>
      </c>
      <c r="AC47" s="8">
        <v>30.25</v>
      </c>
      <c r="AD47" s="8">
        <v>43.86</v>
      </c>
      <c r="AE47" s="8">
        <v>13.61</v>
      </c>
      <c r="AF47" t="s">
        <v>20</v>
      </c>
    </row>
    <row r="48" spans="1:32">
      <c r="A48" t="s">
        <v>276</v>
      </c>
      <c r="B48" s="10">
        <v>46227</v>
      </c>
      <c r="C48">
        <v>30</v>
      </c>
      <c r="D48" t="s">
        <v>188</v>
      </c>
      <c r="E48" t="s">
        <v>277</v>
      </c>
      <c r="F48" t="s">
        <v>128</v>
      </c>
      <c r="G48" t="s">
        <v>93</v>
      </c>
      <c r="H48" t="s">
        <v>130</v>
      </c>
      <c r="I48">
        <v>70000</v>
      </c>
      <c r="J48" t="s">
        <v>117</v>
      </c>
      <c r="K48" s="7">
        <v>3.16</v>
      </c>
      <c r="L48" s="11">
        <v>0.82</v>
      </c>
      <c r="M48" s="7">
        <v>3.85</v>
      </c>
      <c r="N48" t="s">
        <v>57</v>
      </c>
      <c r="O48" t="s">
        <v>58</v>
      </c>
      <c r="P48" t="s">
        <v>66</v>
      </c>
      <c r="Q48" t="s">
        <v>67</v>
      </c>
      <c r="R48" t="s">
        <v>181</v>
      </c>
      <c r="S48" s="12">
        <v>46227.5833333333</v>
      </c>
      <c r="T48" s="12">
        <v>46227.74375</v>
      </c>
      <c r="U48" s="12">
        <v>46227.8166666667</v>
      </c>
      <c r="V48" t="s">
        <v>165</v>
      </c>
      <c r="W48" s="7">
        <v>3.5</v>
      </c>
      <c r="X48" s="7">
        <v>0.35</v>
      </c>
      <c r="Y48" s="8">
        <v>96.25</v>
      </c>
      <c r="Z48" s="8">
        <v>11</v>
      </c>
      <c r="AA48" s="8">
        <v>0.5</v>
      </c>
      <c r="AB48" s="8">
        <v>5</v>
      </c>
      <c r="AC48" s="8">
        <v>112.75</v>
      </c>
      <c r="AD48" s="8">
        <v>163.49</v>
      </c>
      <c r="AE48" s="8">
        <v>50.74</v>
      </c>
      <c r="AF48" t="s">
        <v>20</v>
      </c>
    </row>
    <row r="49" spans="1:32">
      <c r="A49" t="s">
        <v>278</v>
      </c>
      <c r="B49" s="10">
        <v>46230</v>
      </c>
      <c r="C49">
        <v>31</v>
      </c>
      <c r="D49" t="s">
        <v>199</v>
      </c>
      <c r="E49" t="s">
        <v>279</v>
      </c>
      <c r="F49" t="s">
        <v>128</v>
      </c>
      <c r="G49" t="s">
        <v>99</v>
      </c>
      <c r="H49" t="s">
        <v>130</v>
      </c>
      <c r="I49">
        <v>50000</v>
      </c>
      <c r="J49" t="s">
        <v>113</v>
      </c>
      <c r="K49" s="7">
        <v>5.46</v>
      </c>
      <c r="L49" s="11">
        <v>0.82</v>
      </c>
      <c r="M49" s="7">
        <v>6.66</v>
      </c>
      <c r="N49" t="s">
        <v>61</v>
      </c>
      <c r="O49" t="s">
        <v>62</v>
      </c>
      <c r="P49" t="s">
        <v>66</v>
      </c>
      <c r="Q49" t="s">
        <v>67</v>
      </c>
      <c r="R49" t="s">
        <v>184</v>
      </c>
      <c r="S49" s="12">
        <v>46230.6458333333</v>
      </c>
      <c r="T49" s="12">
        <v>46230.9233333333</v>
      </c>
      <c r="U49" s="12">
        <v>46230.99625</v>
      </c>
      <c r="V49" t="s">
        <v>165</v>
      </c>
      <c r="W49" s="7">
        <v>3.66</v>
      </c>
      <c r="X49" s="7">
        <v>3</v>
      </c>
      <c r="Y49" s="8">
        <v>166.5</v>
      </c>
      <c r="Z49" s="8">
        <v>11</v>
      </c>
      <c r="AA49" s="8">
        <v>0.5</v>
      </c>
      <c r="AB49" s="8">
        <v>5</v>
      </c>
      <c r="AC49" s="8">
        <v>183</v>
      </c>
      <c r="AD49" s="8">
        <v>265.35</v>
      </c>
      <c r="AE49" s="8">
        <v>82.35</v>
      </c>
      <c r="AF49" t="s">
        <v>20</v>
      </c>
    </row>
    <row r="50" spans="1:32">
      <c r="A50" t="s">
        <v>280</v>
      </c>
      <c r="B50" s="10">
        <v>46227</v>
      </c>
      <c r="C50">
        <v>30</v>
      </c>
      <c r="D50" t="s">
        <v>194</v>
      </c>
      <c r="E50" t="s">
        <v>281</v>
      </c>
      <c r="F50" t="s">
        <v>128</v>
      </c>
      <c r="G50" t="s">
        <v>96</v>
      </c>
      <c r="H50" t="s">
        <v>130</v>
      </c>
      <c r="I50">
        <v>30000</v>
      </c>
      <c r="J50" t="s">
        <v>109</v>
      </c>
      <c r="K50" s="7">
        <v>3.61</v>
      </c>
      <c r="L50" s="11">
        <v>0.82</v>
      </c>
      <c r="M50" s="7">
        <v>4.4</v>
      </c>
      <c r="N50" t="s">
        <v>59</v>
      </c>
      <c r="O50" t="s">
        <v>60</v>
      </c>
      <c r="P50" t="s">
        <v>63</v>
      </c>
      <c r="Q50" t="s">
        <v>64</v>
      </c>
      <c r="R50" t="s">
        <v>164</v>
      </c>
      <c r="S50" s="12">
        <v>46227.3333333333</v>
      </c>
      <c r="T50" s="12">
        <v>46227.5166666667</v>
      </c>
      <c r="U50" s="12">
        <v>46227.5895833333</v>
      </c>
      <c r="V50" t="s">
        <v>201</v>
      </c>
      <c r="W50" s="7">
        <v>4.4</v>
      </c>
      <c r="X50" s="7">
        <v>0</v>
      </c>
      <c r="Y50" s="8">
        <v>110</v>
      </c>
      <c r="Z50" s="8">
        <v>11</v>
      </c>
      <c r="AA50" s="8">
        <v>0.5</v>
      </c>
      <c r="AB50" s="8">
        <v>5</v>
      </c>
      <c r="AC50" s="8">
        <v>126.5</v>
      </c>
      <c r="AD50" s="8">
        <v>183.42</v>
      </c>
      <c r="AE50" s="8">
        <v>56.92</v>
      </c>
      <c r="AF50" t="s">
        <v>20</v>
      </c>
    </row>
    <row r="51" spans="1:32">
      <c r="A51" t="s">
        <v>282</v>
      </c>
      <c r="B51" s="10">
        <v>46230</v>
      </c>
      <c r="C51">
        <v>31</v>
      </c>
      <c r="D51" t="s">
        <v>191</v>
      </c>
      <c r="E51" t="s">
        <v>283</v>
      </c>
      <c r="F51" t="s">
        <v>128</v>
      </c>
      <c r="G51" t="s">
        <v>91</v>
      </c>
      <c r="H51" t="s">
        <v>130</v>
      </c>
      <c r="I51">
        <v>45000</v>
      </c>
      <c r="J51" t="s">
        <v>112</v>
      </c>
      <c r="K51" s="7">
        <v>0.7</v>
      </c>
      <c r="L51" s="11">
        <v>0.82</v>
      </c>
      <c r="M51" s="7">
        <v>0.85</v>
      </c>
      <c r="N51" t="s">
        <v>50</v>
      </c>
      <c r="O51" t="s">
        <v>51</v>
      </c>
      <c r="P51" t="s">
        <v>63</v>
      </c>
      <c r="Q51" t="s">
        <v>64</v>
      </c>
      <c r="R51" t="s">
        <v>169</v>
      </c>
      <c r="S51" s="12">
        <v>46230.4166666667</v>
      </c>
      <c r="T51" s="12">
        <v>46230.4520833333</v>
      </c>
      <c r="U51" s="12">
        <v>46230.525</v>
      </c>
      <c r="V51" t="s">
        <v>170</v>
      </c>
      <c r="W51" s="7">
        <v>0.85</v>
      </c>
      <c r="X51" s="7">
        <v>0</v>
      </c>
      <c r="Y51" s="8">
        <v>21.25</v>
      </c>
      <c r="Z51" s="8">
        <v>11</v>
      </c>
      <c r="AA51" s="8">
        <v>0.5</v>
      </c>
      <c r="AB51" s="8">
        <v>5</v>
      </c>
      <c r="AC51" s="8">
        <v>37.75</v>
      </c>
      <c r="AD51" s="8">
        <v>54.74</v>
      </c>
      <c r="AE51" s="8">
        <v>16.99</v>
      </c>
      <c r="AF51" t="s">
        <v>20</v>
      </c>
    </row>
    <row r="52" spans="1:32">
      <c r="A52" t="s">
        <v>284</v>
      </c>
      <c r="B52" s="10">
        <v>46225</v>
      </c>
      <c r="C52">
        <v>30</v>
      </c>
      <c r="D52" t="s">
        <v>224</v>
      </c>
      <c r="E52" t="s">
        <v>285</v>
      </c>
      <c r="F52" t="s">
        <v>128</v>
      </c>
      <c r="G52" t="s">
        <v>77</v>
      </c>
      <c r="H52" t="s">
        <v>127</v>
      </c>
      <c r="I52">
        <v>65000</v>
      </c>
      <c r="J52" t="s">
        <v>116</v>
      </c>
      <c r="K52" s="7">
        <v>0.5</v>
      </c>
      <c r="L52" s="11">
        <v>0.82</v>
      </c>
      <c r="M52" s="7">
        <v>0.61</v>
      </c>
      <c r="N52" t="s">
        <v>59</v>
      </c>
      <c r="O52" t="s">
        <v>60</v>
      </c>
      <c r="P52" t="s">
        <v>63</v>
      </c>
      <c r="Q52" t="s">
        <v>64</v>
      </c>
      <c r="R52" t="s">
        <v>174</v>
      </c>
      <c r="S52" s="12">
        <v>46225.5833333333</v>
      </c>
      <c r="T52" s="12">
        <v>46225.60875</v>
      </c>
      <c r="U52" s="12">
        <v>46225.6816666667</v>
      </c>
      <c r="V52" t="s">
        <v>170</v>
      </c>
      <c r="W52" s="7">
        <v>0.61</v>
      </c>
      <c r="X52" s="7">
        <v>0</v>
      </c>
      <c r="Y52" s="8">
        <v>15.25</v>
      </c>
      <c r="Z52" s="8">
        <v>11</v>
      </c>
      <c r="AA52" s="8">
        <v>0.5</v>
      </c>
      <c r="AB52" s="8">
        <v>5</v>
      </c>
      <c r="AC52" s="8">
        <v>31.75</v>
      </c>
      <c r="AD52" s="8">
        <v>46.04</v>
      </c>
      <c r="AE52" s="8">
        <v>14.29</v>
      </c>
      <c r="AF52" t="s">
        <v>20</v>
      </c>
    </row>
    <row r="53" spans="1:32">
      <c r="A53" t="s">
        <v>286</v>
      </c>
      <c r="B53" s="10">
        <v>46217</v>
      </c>
      <c r="C53">
        <v>29</v>
      </c>
      <c r="D53" t="s">
        <v>162</v>
      </c>
      <c r="E53" t="s">
        <v>287</v>
      </c>
      <c r="F53" t="s">
        <v>128</v>
      </c>
      <c r="G53" t="s">
        <v>95</v>
      </c>
      <c r="H53" t="s">
        <v>130</v>
      </c>
      <c r="I53">
        <v>45000</v>
      </c>
      <c r="J53" t="s">
        <v>112</v>
      </c>
      <c r="K53" s="7">
        <v>0.8</v>
      </c>
      <c r="L53" s="11">
        <v>0.82</v>
      </c>
      <c r="M53" s="7">
        <v>0.98</v>
      </c>
      <c r="N53" t="s">
        <v>59</v>
      </c>
      <c r="O53" t="s">
        <v>60</v>
      </c>
      <c r="P53" t="s">
        <v>63</v>
      </c>
      <c r="Q53" t="s">
        <v>64</v>
      </c>
      <c r="R53" t="s">
        <v>178</v>
      </c>
      <c r="S53" s="12">
        <v>46217.6458333333</v>
      </c>
      <c r="T53" s="12">
        <v>46217.6866666667</v>
      </c>
      <c r="U53" s="12">
        <v>46217.7595833333</v>
      </c>
      <c r="V53" t="s">
        <v>170</v>
      </c>
      <c r="W53" s="7">
        <v>0.98</v>
      </c>
      <c r="X53" s="7">
        <v>0</v>
      </c>
      <c r="Y53" s="8">
        <v>24.5</v>
      </c>
      <c r="Z53" s="8">
        <v>11</v>
      </c>
      <c r="AA53" s="8">
        <v>0.5</v>
      </c>
      <c r="AB53" s="8">
        <v>5</v>
      </c>
      <c r="AC53" s="8">
        <v>41</v>
      </c>
      <c r="AD53" s="8">
        <v>59.45</v>
      </c>
      <c r="AE53" s="8">
        <v>18.45</v>
      </c>
      <c r="AF53" t="s">
        <v>20</v>
      </c>
    </row>
    <row r="54" spans="1:32">
      <c r="A54" t="s">
        <v>288</v>
      </c>
      <c r="B54" s="10">
        <v>46217</v>
      </c>
      <c r="C54">
        <v>29</v>
      </c>
      <c r="D54" t="s">
        <v>167</v>
      </c>
      <c r="E54" t="s">
        <v>289</v>
      </c>
      <c r="F54" t="s">
        <v>128</v>
      </c>
      <c r="G54" t="s">
        <v>77</v>
      </c>
      <c r="H54" t="s">
        <v>127</v>
      </c>
      <c r="I54">
        <v>25000</v>
      </c>
      <c r="J54" t="s">
        <v>108</v>
      </c>
      <c r="K54" s="7">
        <v>1.2</v>
      </c>
      <c r="L54" s="11">
        <v>0.82</v>
      </c>
      <c r="M54" s="7">
        <v>1.46</v>
      </c>
      <c r="N54" t="s">
        <v>61</v>
      </c>
      <c r="O54" t="s">
        <v>62</v>
      </c>
      <c r="P54" t="s">
        <v>66</v>
      </c>
      <c r="Q54" t="s">
        <v>67</v>
      </c>
      <c r="R54" t="s">
        <v>181</v>
      </c>
      <c r="S54" s="12">
        <v>46217.3333333333</v>
      </c>
      <c r="T54" s="12">
        <v>46217.3941666667</v>
      </c>
      <c r="U54" s="12">
        <v>46217.4670833333</v>
      </c>
      <c r="V54" t="s">
        <v>170</v>
      </c>
      <c r="W54" s="7">
        <v>1.46</v>
      </c>
      <c r="X54" s="7">
        <v>0</v>
      </c>
      <c r="Y54" s="8">
        <v>36.5</v>
      </c>
      <c r="Z54" s="8">
        <v>11</v>
      </c>
      <c r="AA54" s="8">
        <v>0.5</v>
      </c>
      <c r="AB54" s="8">
        <v>5</v>
      </c>
      <c r="AC54" s="8">
        <v>53</v>
      </c>
      <c r="AD54" s="8">
        <v>76.85</v>
      </c>
      <c r="AE54" s="8">
        <v>23.85</v>
      </c>
      <c r="AF54" t="s">
        <v>20</v>
      </c>
    </row>
    <row r="55" spans="1:32">
      <c r="A55" t="s">
        <v>290</v>
      </c>
      <c r="B55" s="10">
        <v>46225</v>
      </c>
      <c r="C55">
        <v>30</v>
      </c>
      <c r="D55" t="s">
        <v>199</v>
      </c>
      <c r="E55" t="s">
        <v>291</v>
      </c>
      <c r="F55" t="s">
        <v>128</v>
      </c>
      <c r="G55" t="s">
        <v>100</v>
      </c>
      <c r="H55" t="s">
        <v>130</v>
      </c>
      <c r="I55">
        <v>85000</v>
      </c>
      <c r="J55" t="s">
        <v>120</v>
      </c>
      <c r="K55" s="7">
        <v>0.55</v>
      </c>
      <c r="L55" s="11">
        <v>0.82</v>
      </c>
      <c r="M55" s="7">
        <v>0.67</v>
      </c>
      <c r="N55" t="s">
        <v>61</v>
      </c>
      <c r="O55" t="s">
        <v>62</v>
      </c>
      <c r="P55" t="s">
        <v>66</v>
      </c>
      <c r="Q55" t="s">
        <v>67</v>
      </c>
      <c r="R55" t="s">
        <v>184</v>
      </c>
      <c r="S55" s="12">
        <v>46225.4166666667</v>
      </c>
      <c r="T55" s="12">
        <v>46225.4445833333</v>
      </c>
      <c r="U55" s="12">
        <v>46225.5175</v>
      </c>
      <c r="V55" t="s">
        <v>165</v>
      </c>
      <c r="W55" s="7">
        <v>0.67</v>
      </c>
      <c r="X55" s="7">
        <v>0</v>
      </c>
      <c r="Y55" s="8">
        <v>16.75</v>
      </c>
      <c r="Z55" s="8">
        <v>11</v>
      </c>
      <c r="AA55" s="8">
        <v>0.5</v>
      </c>
      <c r="AB55" s="8">
        <v>5</v>
      </c>
      <c r="AC55" s="8">
        <v>33.25</v>
      </c>
      <c r="AD55" s="8">
        <v>48.21</v>
      </c>
      <c r="AE55" s="8">
        <v>14.96</v>
      </c>
      <c r="AF55" t="s">
        <v>20</v>
      </c>
    </row>
    <row r="56" spans="1:32">
      <c r="A56" t="s">
        <v>292</v>
      </c>
      <c r="B56" s="10">
        <v>46220</v>
      </c>
      <c r="C56">
        <v>29</v>
      </c>
      <c r="D56" t="s">
        <v>188</v>
      </c>
      <c r="E56" t="s">
        <v>293</v>
      </c>
      <c r="F56" t="s">
        <v>128</v>
      </c>
      <c r="G56" t="s">
        <v>91</v>
      </c>
      <c r="H56" t="s">
        <v>130</v>
      </c>
      <c r="I56">
        <v>40000</v>
      </c>
      <c r="J56" t="s">
        <v>111</v>
      </c>
      <c r="K56" s="7">
        <v>3.89</v>
      </c>
      <c r="L56" s="11">
        <v>0.82</v>
      </c>
      <c r="M56" s="7">
        <v>4.74</v>
      </c>
      <c r="N56" t="s">
        <v>61</v>
      </c>
      <c r="O56" t="s">
        <v>62</v>
      </c>
      <c r="P56" t="s">
        <v>66</v>
      </c>
      <c r="Q56" t="s">
        <v>67</v>
      </c>
      <c r="R56" t="s">
        <v>164</v>
      </c>
      <c r="S56" s="12">
        <v>46220.5833333333</v>
      </c>
      <c r="T56" s="12">
        <v>46220.7808333333</v>
      </c>
      <c r="U56" s="12">
        <v>46220.85375</v>
      </c>
      <c r="V56" t="s">
        <v>170</v>
      </c>
      <c r="W56" s="7">
        <v>3.5</v>
      </c>
      <c r="X56" s="7">
        <v>1.24</v>
      </c>
      <c r="Y56" s="8">
        <v>118.5</v>
      </c>
      <c r="Z56" s="8">
        <v>11</v>
      </c>
      <c r="AA56" s="8">
        <v>0.5</v>
      </c>
      <c r="AB56" s="8">
        <v>5</v>
      </c>
      <c r="AC56" s="8">
        <v>135</v>
      </c>
      <c r="AD56" s="8">
        <v>195.75</v>
      </c>
      <c r="AE56" s="8">
        <v>60.75</v>
      </c>
      <c r="AF56" t="s">
        <v>20</v>
      </c>
    </row>
    <row r="57" spans="1:32">
      <c r="A57" t="s">
        <v>294</v>
      </c>
      <c r="B57" s="10">
        <v>46227</v>
      </c>
      <c r="C57">
        <v>30</v>
      </c>
      <c r="D57" t="s">
        <v>252</v>
      </c>
      <c r="E57" t="s">
        <v>295</v>
      </c>
      <c r="F57" t="s">
        <v>128</v>
      </c>
      <c r="G57" t="s">
        <v>102</v>
      </c>
      <c r="H57" t="s">
        <v>131</v>
      </c>
      <c r="I57">
        <v>50000</v>
      </c>
      <c r="J57" t="s">
        <v>113</v>
      </c>
      <c r="K57" s="7">
        <v>3.91</v>
      </c>
      <c r="L57" s="11">
        <v>0.82</v>
      </c>
      <c r="M57" s="7">
        <v>4.77</v>
      </c>
      <c r="N57" t="s">
        <v>61</v>
      </c>
      <c r="O57" t="s">
        <v>62</v>
      </c>
      <c r="P57" t="s">
        <v>66</v>
      </c>
      <c r="Q57" t="s">
        <v>67</v>
      </c>
      <c r="R57" t="s">
        <v>169</v>
      </c>
      <c r="S57" s="12">
        <v>46227.6458333333</v>
      </c>
      <c r="T57" s="12">
        <v>46227.8445833333</v>
      </c>
      <c r="U57" s="12">
        <v>46227.9175</v>
      </c>
      <c r="V57" t="s">
        <v>170</v>
      </c>
      <c r="W57" s="7">
        <v>2</v>
      </c>
      <c r="X57" s="7">
        <v>2.77</v>
      </c>
      <c r="Y57" s="8">
        <v>119.25</v>
      </c>
      <c r="Z57" s="8">
        <v>11</v>
      </c>
      <c r="AA57" s="8">
        <v>0.5</v>
      </c>
      <c r="AB57" s="8">
        <v>5</v>
      </c>
      <c r="AC57" s="8">
        <v>135.75</v>
      </c>
      <c r="AD57" s="8">
        <v>196.84</v>
      </c>
      <c r="AE57" s="8">
        <v>61.09</v>
      </c>
      <c r="AF57" t="s">
        <v>20</v>
      </c>
    </row>
    <row r="58" spans="1:32">
      <c r="A58" t="s">
        <v>296</v>
      </c>
      <c r="B58" s="10">
        <v>46225</v>
      </c>
      <c r="C58">
        <v>30</v>
      </c>
      <c r="D58" t="s">
        <v>297</v>
      </c>
      <c r="E58" t="s">
        <v>298</v>
      </c>
      <c r="F58" t="s">
        <v>128</v>
      </c>
      <c r="G58" t="s">
        <v>75</v>
      </c>
      <c r="H58" t="s">
        <v>127</v>
      </c>
      <c r="I58">
        <v>80000</v>
      </c>
      <c r="J58" t="s">
        <v>119</v>
      </c>
      <c r="K58" s="7">
        <v>4.63</v>
      </c>
      <c r="L58" s="11">
        <v>0.82</v>
      </c>
      <c r="M58" s="7">
        <v>5.65</v>
      </c>
      <c r="N58" t="s">
        <v>50</v>
      </c>
      <c r="O58" t="s">
        <v>51</v>
      </c>
      <c r="P58" t="s">
        <v>63</v>
      </c>
      <c r="Q58" t="s">
        <v>64</v>
      </c>
      <c r="R58" t="s">
        <v>174</v>
      </c>
      <c r="S58" s="12">
        <v>46225.3333333333</v>
      </c>
      <c r="T58" s="12">
        <v>46225.6104166667</v>
      </c>
      <c r="U58" s="12">
        <v>46225.6833333333</v>
      </c>
      <c r="V58" t="s">
        <v>201</v>
      </c>
      <c r="W58" s="7">
        <v>5.65</v>
      </c>
      <c r="X58" s="7">
        <v>0</v>
      </c>
      <c r="Y58" s="8">
        <v>141.25</v>
      </c>
      <c r="Z58" s="8">
        <v>11</v>
      </c>
      <c r="AA58" s="8">
        <v>0.5</v>
      </c>
      <c r="AB58" s="8">
        <v>5</v>
      </c>
      <c r="AC58" s="8">
        <v>157.75</v>
      </c>
      <c r="AD58" s="8">
        <v>228.74</v>
      </c>
      <c r="AE58" s="8">
        <v>70.99</v>
      </c>
      <c r="AF58" t="s">
        <v>20</v>
      </c>
    </row>
    <row r="59" spans="1:32">
      <c r="A59" t="s">
        <v>299</v>
      </c>
      <c r="B59" s="10">
        <v>46220</v>
      </c>
      <c r="C59">
        <v>29</v>
      </c>
      <c r="D59" t="s">
        <v>199</v>
      </c>
      <c r="E59" t="s">
        <v>300</v>
      </c>
      <c r="F59" t="s">
        <v>128</v>
      </c>
      <c r="G59" t="s">
        <v>84</v>
      </c>
      <c r="H59" t="s">
        <v>130</v>
      </c>
      <c r="I59">
        <v>55000</v>
      </c>
      <c r="J59" t="s">
        <v>114</v>
      </c>
      <c r="K59" s="7">
        <v>0.5</v>
      </c>
      <c r="L59" s="11">
        <v>0.82</v>
      </c>
      <c r="M59" s="7">
        <v>0.61</v>
      </c>
      <c r="N59" t="s">
        <v>50</v>
      </c>
      <c r="O59" t="s">
        <v>51</v>
      </c>
      <c r="P59" t="s">
        <v>63</v>
      </c>
      <c r="Q59" t="s">
        <v>64</v>
      </c>
      <c r="R59" t="s">
        <v>178</v>
      </c>
      <c r="S59" s="12">
        <v>46220.4166666667</v>
      </c>
      <c r="T59" s="12">
        <v>46220.4420833333</v>
      </c>
      <c r="U59" s="12">
        <v>46220.515</v>
      </c>
      <c r="V59" t="s">
        <v>170</v>
      </c>
      <c r="W59" s="7">
        <v>0.61</v>
      </c>
      <c r="X59" s="7">
        <v>0</v>
      </c>
      <c r="Y59" s="8">
        <v>15.25</v>
      </c>
      <c r="Z59" s="8">
        <v>11</v>
      </c>
      <c r="AA59" s="8">
        <v>0.5</v>
      </c>
      <c r="AB59" s="8">
        <v>5</v>
      </c>
      <c r="AC59" s="8">
        <v>31.75</v>
      </c>
      <c r="AD59" s="8">
        <v>46.04</v>
      </c>
      <c r="AE59" s="8">
        <v>14.29</v>
      </c>
      <c r="AF59" t="s">
        <v>20</v>
      </c>
    </row>
    <row r="60" spans="1:32">
      <c r="A60" t="s">
        <v>301</v>
      </c>
      <c r="B60" s="10">
        <v>46230</v>
      </c>
      <c r="C60">
        <v>31</v>
      </c>
      <c r="D60" t="s">
        <v>172</v>
      </c>
      <c r="E60" t="s">
        <v>302</v>
      </c>
      <c r="F60" t="s">
        <v>128</v>
      </c>
      <c r="G60" t="s">
        <v>75</v>
      </c>
      <c r="H60" t="s">
        <v>127</v>
      </c>
      <c r="I60">
        <v>65000</v>
      </c>
      <c r="J60" t="s">
        <v>116</v>
      </c>
      <c r="K60" s="7">
        <v>0.5</v>
      </c>
      <c r="L60" s="11">
        <v>0.82</v>
      </c>
      <c r="M60" s="7">
        <v>0.61</v>
      </c>
      <c r="N60" t="s">
        <v>57</v>
      </c>
      <c r="O60" t="s">
        <v>58</v>
      </c>
      <c r="P60" t="s">
        <v>66</v>
      </c>
      <c r="Q60" t="s">
        <v>67</v>
      </c>
      <c r="R60" t="s">
        <v>181</v>
      </c>
      <c r="S60" s="12">
        <v>46230.5833333333</v>
      </c>
      <c r="T60" s="12">
        <v>46230.60875</v>
      </c>
      <c r="U60" s="12">
        <v>46230.6816666667</v>
      </c>
      <c r="V60" t="s">
        <v>6</v>
      </c>
      <c r="W60" s="7">
        <v>0.61</v>
      </c>
      <c r="X60" s="7">
        <v>0</v>
      </c>
      <c r="Y60" s="8">
        <v>15.25</v>
      </c>
      <c r="Z60" s="8">
        <v>11</v>
      </c>
      <c r="AA60" s="8">
        <v>0.5</v>
      </c>
      <c r="AB60" s="8">
        <v>5</v>
      </c>
      <c r="AC60" s="8">
        <v>31.75</v>
      </c>
      <c r="AD60" s="8">
        <v>46.04</v>
      </c>
      <c r="AE60" s="8">
        <v>14.29</v>
      </c>
      <c r="AF60" t="s">
        <v>20</v>
      </c>
    </row>
    <row r="61" spans="1:32">
      <c r="A61" t="s">
        <v>303</v>
      </c>
      <c r="B61" s="10">
        <v>46216</v>
      </c>
      <c r="C61">
        <v>29</v>
      </c>
      <c r="D61" t="s">
        <v>212</v>
      </c>
      <c r="E61" t="s">
        <v>304</v>
      </c>
      <c r="F61" t="s">
        <v>128</v>
      </c>
      <c r="G61" t="s">
        <v>99</v>
      </c>
      <c r="H61" t="s">
        <v>130</v>
      </c>
      <c r="I61">
        <v>65000</v>
      </c>
      <c r="J61" t="s">
        <v>116</v>
      </c>
      <c r="K61" s="7">
        <v>0.5</v>
      </c>
      <c r="L61" s="11">
        <v>0.82</v>
      </c>
      <c r="M61" s="7">
        <v>0.61</v>
      </c>
      <c r="N61" t="s">
        <v>57</v>
      </c>
      <c r="O61" t="s">
        <v>58</v>
      </c>
      <c r="P61" t="s">
        <v>66</v>
      </c>
      <c r="Q61" t="s">
        <v>67</v>
      </c>
      <c r="R61" t="s">
        <v>184</v>
      </c>
      <c r="S61" s="12">
        <v>46216.6458333333</v>
      </c>
      <c r="T61" s="12">
        <v>46216.67125</v>
      </c>
      <c r="U61" s="12">
        <v>46216.7441666667</v>
      </c>
      <c r="V61" t="s">
        <v>6</v>
      </c>
      <c r="W61" s="7">
        <v>0.61</v>
      </c>
      <c r="X61" s="7">
        <v>0</v>
      </c>
      <c r="Y61" s="8">
        <v>15.25</v>
      </c>
      <c r="Z61" s="8">
        <v>11</v>
      </c>
      <c r="AA61" s="8">
        <v>0.5</v>
      </c>
      <c r="AB61" s="8">
        <v>5</v>
      </c>
      <c r="AC61" s="8">
        <v>31.75</v>
      </c>
      <c r="AD61" s="8">
        <v>46.04</v>
      </c>
      <c r="AE61" s="8">
        <v>14.29</v>
      </c>
      <c r="AF61" t="s">
        <v>20</v>
      </c>
    </row>
    <row r="62" spans="1:32">
      <c r="A62" t="s">
        <v>305</v>
      </c>
      <c r="B62" s="10">
        <v>46224</v>
      </c>
      <c r="C62">
        <v>30</v>
      </c>
      <c r="D62" t="s">
        <v>199</v>
      </c>
      <c r="E62" t="s">
        <v>306</v>
      </c>
      <c r="F62" t="s">
        <v>128</v>
      </c>
      <c r="G62" t="s">
        <v>91</v>
      </c>
      <c r="H62" t="s">
        <v>130</v>
      </c>
      <c r="I62">
        <v>10000</v>
      </c>
      <c r="J62" t="s">
        <v>105</v>
      </c>
      <c r="K62" s="7">
        <v>3.09</v>
      </c>
      <c r="L62" s="11">
        <v>0.82</v>
      </c>
      <c r="M62" s="7">
        <v>3.77</v>
      </c>
      <c r="N62" t="s">
        <v>61</v>
      </c>
      <c r="O62" t="s">
        <v>62</v>
      </c>
      <c r="P62" t="s">
        <v>66</v>
      </c>
      <c r="Q62" t="s">
        <v>67</v>
      </c>
      <c r="R62" t="s">
        <v>164</v>
      </c>
      <c r="S62" s="12">
        <v>46224.3333333333</v>
      </c>
      <c r="T62" s="12">
        <v>46224.4904166667</v>
      </c>
      <c r="U62" s="12">
        <v>46224.5633333333</v>
      </c>
      <c r="V62" t="s">
        <v>165</v>
      </c>
      <c r="W62" s="7">
        <v>3.77</v>
      </c>
      <c r="X62" s="7">
        <v>0</v>
      </c>
      <c r="Y62" s="8">
        <v>94.25</v>
      </c>
      <c r="Z62" s="8">
        <v>11</v>
      </c>
      <c r="AA62" s="8">
        <v>0.5</v>
      </c>
      <c r="AB62" s="8">
        <v>5</v>
      </c>
      <c r="AC62" s="8">
        <v>110.75</v>
      </c>
      <c r="AD62" s="8">
        <v>160.59</v>
      </c>
      <c r="AE62" s="8">
        <v>49.84</v>
      </c>
      <c r="AF62" t="s">
        <v>20</v>
      </c>
    </row>
    <row r="63" spans="1:32">
      <c r="A63" t="s">
        <v>307</v>
      </c>
      <c r="B63" s="10">
        <v>46226</v>
      </c>
      <c r="C63">
        <v>30</v>
      </c>
      <c r="D63" t="s">
        <v>252</v>
      </c>
      <c r="E63" t="s">
        <v>308</v>
      </c>
      <c r="F63" t="s">
        <v>128</v>
      </c>
      <c r="G63" t="s">
        <v>94</v>
      </c>
      <c r="H63" t="s">
        <v>130</v>
      </c>
      <c r="I63">
        <v>35000</v>
      </c>
      <c r="J63" t="s">
        <v>110</v>
      </c>
      <c r="K63" s="7">
        <v>0.5</v>
      </c>
      <c r="L63" s="11">
        <v>0.82</v>
      </c>
      <c r="M63" s="7">
        <v>0.61</v>
      </c>
      <c r="N63" t="s">
        <v>55</v>
      </c>
      <c r="O63" t="s">
        <v>56</v>
      </c>
      <c r="P63" t="s">
        <v>66</v>
      </c>
      <c r="Q63" t="s">
        <v>67</v>
      </c>
      <c r="R63" t="s">
        <v>169</v>
      </c>
      <c r="S63" s="12">
        <v>46226.4166666667</v>
      </c>
      <c r="T63" s="12">
        <v>46226.4420833333</v>
      </c>
      <c r="U63" s="12">
        <v>46226.515</v>
      </c>
      <c r="V63" t="s">
        <v>170</v>
      </c>
      <c r="W63" s="7">
        <v>0.61</v>
      </c>
      <c r="X63" s="7">
        <v>0</v>
      </c>
      <c r="Y63" s="8">
        <v>15.25</v>
      </c>
      <c r="Z63" s="8">
        <v>11</v>
      </c>
      <c r="AA63" s="8">
        <v>0.5</v>
      </c>
      <c r="AB63" s="8">
        <v>5</v>
      </c>
      <c r="AC63" s="8">
        <v>31.75</v>
      </c>
      <c r="AD63" s="8">
        <v>46.04</v>
      </c>
      <c r="AE63" s="8">
        <v>14.29</v>
      </c>
      <c r="AF63" t="s">
        <v>20</v>
      </c>
    </row>
    <row r="64" spans="1:32">
      <c r="A64" t="s">
        <v>309</v>
      </c>
      <c r="B64" s="10">
        <v>46217</v>
      </c>
      <c r="C64">
        <v>29</v>
      </c>
      <c r="D64" t="s">
        <v>194</v>
      </c>
      <c r="E64" t="s">
        <v>310</v>
      </c>
      <c r="F64" t="s">
        <v>128</v>
      </c>
      <c r="G64" t="s">
        <v>86</v>
      </c>
      <c r="H64" t="s">
        <v>130</v>
      </c>
      <c r="I64">
        <v>35000</v>
      </c>
      <c r="J64" t="s">
        <v>110</v>
      </c>
      <c r="K64" s="7">
        <v>0.6</v>
      </c>
      <c r="L64" s="11">
        <v>0.82</v>
      </c>
      <c r="M64" s="7">
        <v>0.73</v>
      </c>
      <c r="N64" t="s">
        <v>57</v>
      </c>
      <c r="O64" t="s">
        <v>58</v>
      </c>
      <c r="P64" t="s">
        <v>63</v>
      </c>
      <c r="Q64" t="s">
        <v>64</v>
      </c>
      <c r="R64" t="s">
        <v>174</v>
      </c>
      <c r="S64" s="12">
        <v>46217.5833333333</v>
      </c>
      <c r="T64" s="12">
        <v>46217.61375</v>
      </c>
      <c r="U64" s="12">
        <v>46217.6866666667</v>
      </c>
      <c r="V64" t="s">
        <v>6</v>
      </c>
      <c r="W64" s="7">
        <v>0.73</v>
      </c>
      <c r="X64" s="7">
        <v>0</v>
      </c>
      <c r="Y64" s="8">
        <v>18.25</v>
      </c>
      <c r="Z64" s="8">
        <v>11</v>
      </c>
      <c r="AA64" s="8">
        <v>0.5</v>
      </c>
      <c r="AB64" s="8">
        <v>5</v>
      </c>
      <c r="AC64" s="8">
        <v>34.75</v>
      </c>
      <c r="AD64" s="8">
        <v>50.39</v>
      </c>
      <c r="AE64" s="8">
        <v>15.64</v>
      </c>
      <c r="AF64" t="s">
        <v>20</v>
      </c>
    </row>
    <row r="65" spans="1:32">
      <c r="A65" t="s">
        <v>311</v>
      </c>
      <c r="B65" s="10">
        <v>46223</v>
      </c>
      <c r="C65">
        <v>30</v>
      </c>
      <c r="D65" t="s">
        <v>221</v>
      </c>
      <c r="E65" t="s">
        <v>312</v>
      </c>
      <c r="F65" t="s">
        <v>128</v>
      </c>
      <c r="G65" t="s">
        <v>93</v>
      </c>
      <c r="H65" t="s">
        <v>130</v>
      </c>
      <c r="I65">
        <v>65000</v>
      </c>
      <c r="J65" t="s">
        <v>116</v>
      </c>
      <c r="K65" s="7">
        <v>0.5</v>
      </c>
      <c r="L65" s="11">
        <v>0.82</v>
      </c>
      <c r="M65" s="7">
        <v>0.61</v>
      </c>
      <c r="N65" t="s">
        <v>57</v>
      </c>
      <c r="O65" t="s">
        <v>58</v>
      </c>
      <c r="P65" t="s">
        <v>66</v>
      </c>
      <c r="Q65" t="s">
        <v>67</v>
      </c>
      <c r="R65" t="s">
        <v>178</v>
      </c>
      <c r="S65" s="12">
        <v>46223.6458333333</v>
      </c>
      <c r="T65" s="12">
        <v>46223.67125</v>
      </c>
      <c r="U65" s="12">
        <v>46223.7441666667</v>
      </c>
      <c r="V65" t="s">
        <v>201</v>
      </c>
      <c r="W65" s="7">
        <v>0.61</v>
      </c>
      <c r="X65" s="7">
        <v>0</v>
      </c>
      <c r="Y65" s="8">
        <v>15.25</v>
      </c>
      <c r="Z65" s="8">
        <v>11</v>
      </c>
      <c r="AA65" s="8">
        <v>0.5</v>
      </c>
      <c r="AB65" s="8">
        <v>5</v>
      </c>
      <c r="AC65" s="8">
        <v>31.75</v>
      </c>
      <c r="AD65" s="8">
        <v>46.04</v>
      </c>
      <c r="AE65" s="8">
        <v>14.29</v>
      </c>
      <c r="AF65" t="s">
        <v>20</v>
      </c>
    </row>
    <row r="66" spans="1:32">
      <c r="A66" t="s">
        <v>313</v>
      </c>
      <c r="B66" s="10">
        <v>46216</v>
      </c>
      <c r="C66">
        <v>29</v>
      </c>
      <c r="D66" t="s">
        <v>207</v>
      </c>
      <c r="E66" t="s">
        <v>314</v>
      </c>
      <c r="F66" t="s">
        <v>128</v>
      </c>
      <c r="G66" t="s">
        <v>78</v>
      </c>
      <c r="H66" t="s">
        <v>127</v>
      </c>
      <c r="I66">
        <v>1000000</v>
      </c>
      <c r="J66" t="s">
        <v>123</v>
      </c>
      <c r="K66" s="7">
        <v>4.23</v>
      </c>
      <c r="L66" s="11">
        <v>0.82</v>
      </c>
      <c r="M66" s="7">
        <v>5.16</v>
      </c>
      <c r="N66" t="s">
        <v>59</v>
      </c>
      <c r="O66" t="s">
        <v>60</v>
      </c>
      <c r="P66" t="s">
        <v>63</v>
      </c>
      <c r="Q66" t="s">
        <v>64</v>
      </c>
      <c r="R66" t="s">
        <v>181</v>
      </c>
      <c r="S66" s="12">
        <v>46216.3333333333</v>
      </c>
      <c r="T66" s="12">
        <v>46216.59</v>
      </c>
      <c r="U66" s="12">
        <v>46216.6629166667</v>
      </c>
      <c r="V66" t="s">
        <v>6</v>
      </c>
      <c r="W66" s="7">
        <v>5.16</v>
      </c>
      <c r="X66" s="7">
        <v>0</v>
      </c>
      <c r="Y66" s="8">
        <v>129</v>
      </c>
      <c r="Z66" s="8">
        <v>11</v>
      </c>
      <c r="AA66" s="8">
        <v>0.5</v>
      </c>
      <c r="AB66" s="8">
        <v>5</v>
      </c>
      <c r="AC66" s="8">
        <v>145.5</v>
      </c>
      <c r="AD66" s="8">
        <v>210.97</v>
      </c>
      <c r="AE66" s="8">
        <v>65.47</v>
      </c>
      <c r="AF66" t="s">
        <v>20</v>
      </c>
    </row>
    <row r="67" spans="1:32">
      <c r="A67" t="s">
        <v>315</v>
      </c>
      <c r="B67" s="10">
        <v>46218</v>
      </c>
      <c r="C67">
        <v>29</v>
      </c>
      <c r="D67" t="s">
        <v>162</v>
      </c>
      <c r="E67" t="s">
        <v>316</v>
      </c>
      <c r="F67" t="s">
        <v>128</v>
      </c>
      <c r="G67" t="s">
        <v>96</v>
      </c>
      <c r="H67" t="s">
        <v>130</v>
      </c>
      <c r="I67">
        <v>20000</v>
      </c>
      <c r="J67" t="s">
        <v>107</v>
      </c>
      <c r="K67" s="7">
        <v>3.91</v>
      </c>
      <c r="L67" s="11">
        <v>0.82</v>
      </c>
      <c r="M67" s="7">
        <v>4.77</v>
      </c>
      <c r="N67" t="s">
        <v>55</v>
      </c>
      <c r="O67" t="s">
        <v>56</v>
      </c>
      <c r="P67" t="s">
        <v>63</v>
      </c>
      <c r="Q67" t="s">
        <v>64</v>
      </c>
      <c r="R67" t="s">
        <v>184</v>
      </c>
      <c r="S67" s="12">
        <v>46218.4166666667</v>
      </c>
      <c r="T67" s="12">
        <v>46218.6570833333</v>
      </c>
      <c r="U67" s="12">
        <v>46218.73</v>
      </c>
      <c r="V67" t="s">
        <v>165</v>
      </c>
      <c r="W67" s="7">
        <v>4.77</v>
      </c>
      <c r="X67" s="7">
        <v>0</v>
      </c>
      <c r="Y67" s="8">
        <v>119.25</v>
      </c>
      <c r="Z67" s="8">
        <v>11</v>
      </c>
      <c r="AA67" s="8">
        <v>0.5</v>
      </c>
      <c r="AB67" s="8">
        <v>5</v>
      </c>
      <c r="AC67" s="8">
        <v>135.75</v>
      </c>
      <c r="AD67" s="8">
        <v>196.84</v>
      </c>
      <c r="AE67" s="8">
        <v>61.09</v>
      </c>
      <c r="AF67" t="s">
        <v>20</v>
      </c>
    </row>
    <row r="68" spans="1:32">
      <c r="A68" t="s">
        <v>317</v>
      </c>
      <c r="B68" s="10">
        <v>46230</v>
      </c>
      <c r="C68">
        <v>31</v>
      </c>
      <c r="D68" t="s">
        <v>162</v>
      </c>
      <c r="E68" t="s">
        <v>318</v>
      </c>
      <c r="F68" t="s">
        <v>128</v>
      </c>
      <c r="G68" t="s">
        <v>89</v>
      </c>
      <c r="H68" t="s">
        <v>130</v>
      </c>
      <c r="I68">
        <v>95000</v>
      </c>
      <c r="J68" t="s">
        <v>122</v>
      </c>
      <c r="K68" s="7">
        <v>0.5</v>
      </c>
      <c r="L68" s="11">
        <v>0.82</v>
      </c>
      <c r="M68" s="7">
        <v>0.61</v>
      </c>
      <c r="N68" t="s">
        <v>59</v>
      </c>
      <c r="O68" t="s">
        <v>60</v>
      </c>
      <c r="P68" t="s">
        <v>63</v>
      </c>
      <c r="Q68" t="s">
        <v>64</v>
      </c>
      <c r="R68" t="s">
        <v>164</v>
      </c>
      <c r="S68" s="12">
        <v>46230.5833333333</v>
      </c>
      <c r="T68" s="12">
        <v>46230.60875</v>
      </c>
      <c r="U68" s="12">
        <v>46230.7291666667</v>
      </c>
      <c r="V68" t="s">
        <v>319</v>
      </c>
      <c r="W68" s="7">
        <v>0.61</v>
      </c>
      <c r="X68" s="7">
        <v>0</v>
      </c>
      <c r="Y68" s="8">
        <v>15.25</v>
      </c>
      <c r="Z68" s="8">
        <v>11</v>
      </c>
      <c r="AA68" s="8">
        <v>0.5</v>
      </c>
      <c r="AB68" s="8">
        <v>5</v>
      </c>
      <c r="AC68" s="8">
        <v>31.75</v>
      </c>
      <c r="AD68" s="8">
        <v>46.04</v>
      </c>
      <c r="AE68" s="8">
        <v>14.29</v>
      </c>
      <c r="AF68" t="s">
        <v>320</v>
      </c>
    </row>
    <row r="69" spans="1:32">
      <c r="A69" t="s">
        <v>321</v>
      </c>
      <c r="B69" s="10">
        <v>46230</v>
      </c>
      <c r="C69">
        <v>31</v>
      </c>
      <c r="D69" t="s">
        <v>176</v>
      </c>
      <c r="E69" t="s">
        <v>322</v>
      </c>
      <c r="F69" t="s">
        <v>128</v>
      </c>
      <c r="G69" t="s">
        <v>78</v>
      </c>
      <c r="H69" t="s">
        <v>127</v>
      </c>
      <c r="I69">
        <v>15000</v>
      </c>
      <c r="J69" t="s">
        <v>106</v>
      </c>
      <c r="K69" s="7">
        <v>0.7</v>
      </c>
      <c r="L69" s="11">
        <v>0.82</v>
      </c>
      <c r="M69" s="7">
        <v>0.85</v>
      </c>
      <c r="N69" t="s">
        <v>53</v>
      </c>
      <c r="O69" t="s">
        <v>54</v>
      </c>
      <c r="P69" t="s">
        <v>66</v>
      </c>
      <c r="Q69" t="s">
        <v>67</v>
      </c>
      <c r="R69" t="s">
        <v>169</v>
      </c>
      <c r="S69" s="12">
        <v>46230.6458333333</v>
      </c>
      <c r="T69" s="12">
        <v>46230.68125</v>
      </c>
      <c r="U69" s="12">
        <v>46230.7541666667</v>
      </c>
      <c r="V69" t="s">
        <v>6</v>
      </c>
      <c r="W69" s="7">
        <v>0.85</v>
      </c>
      <c r="X69" s="7">
        <v>0</v>
      </c>
      <c r="Y69" s="8">
        <v>21.25</v>
      </c>
      <c r="Z69" s="8">
        <v>11</v>
      </c>
      <c r="AA69" s="8">
        <v>0.5</v>
      </c>
      <c r="AB69" s="8">
        <v>5</v>
      </c>
      <c r="AC69" s="8">
        <v>37.75</v>
      </c>
      <c r="AD69" s="8">
        <v>54.74</v>
      </c>
      <c r="AE69" s="8">
        <v>16.99</v>
      </c>
      <c r="AF69" t="s">
        <v>20</v>
      </c>
    </row>
    <row r="70" spans="1:32">
      <c r="A70" t="s">
        <v>323</v>
      </c>
      <c r="B70" s="10">
        <v>46219</v>
      </c>
      <c r="C70">
        <v>29</v>
      </c>
      <c r="D70" t="s">
        <v>227</v>
      </c>
      <c r="E70" t="s">
        <v>324</v>
      </c>
      <c r="F70" t="s">
        <v>128</v>
      </c>
      <c r="G70" t="s">
        <v>80</v>
      </c>
      <c r="H70" t="s">
        <v>127</v>
      </c>
      <c r="I70">
        <v>5000</v>
      </c>
      <c r="J70" t="s">
        <v>104</v>
      </c>
      <c r="K70" s="7">
        <v>0.5</v>
      </c>
      <c r="L70" s="11">
        <v>0.82</v>
      </c>
      <c r="M70" s="7">
        <v>0.61</v>
      </c>
      <c r="N70" t="s">
        <v>57</v>
      </c>
      <c r="O70" t="s">
        <v>58</v>
      </c>
      <c r="P70" t="s">
        <v>66</v>
      </c>
      <c r="Q70" t="s">
        <v>67</v>
      </c>
      <c r="R70" t="s">
        <v>174</v>
      </c>
      <c r="S70" s="12">
        <v>46219.3333333333</v>
      </c>
      <c r="T70" s="12">
        <v>46219.35875</v>
      </c>
      <c r="U70" s="12">
        <v>46219.4316666667</v>
      </c>
      <c r="V70" t="s">
        <v>6</v>
      </c>
      <c r="W70" s="7">
        <v>0.61</v>
      </c>
      <c r="X70" s="7">
        <v>0</v>
      </c>
      <c r="Y70" s="8">
        <v>15.25</v>
      </c>
      <c r="Z70" s="8">
        <v>11</v>
      </c>
      <c r="AA70" s="8">
        <v>0.5</v>
      </c>
      <c r="AB70" s="8">
        <v>5</v>
      </c>
      <c r="AC70" s="8">
        <v>31.75</v>
      </c>
      <c r="AD70" s="8">
        <v>46.04</v>
      </c>
      <c r="AE70" s="8">
        <v>14.29</v>
      </c>
      <c r="AF70" t="s">
        <v>20</v>
      </c>
    </row>
    <row r="71" spans="1:32">
      <c r="A71" t="s">
        <v>325</v>
      </c>
      <c r="B71" s="10">
        <v>46226</v>
      </c>
      <c r="C71">
        <v>30</v>
      </c>
      <c r="D71" t="s">
        <v>252</v>
      </c>
      <c r="E71" t="s">
        <v>326</v>
      </c>
      <c r="F71" t="s">
        <v>128</v>
      </c>
      <c r="G71" t="s">
        <v>90</v>
      </c>
      <c r="H71" t="s">
        <v>130</v>
      </c>
      <c r="I71">
        <v>45000</v>
      </c>
      <c r="J71" t="s">
        <v>112</v>
      </c>
      <c r="K71" s="7">
        <v>0.7</v>
      </c>
      <c r="L71" s="11">
        <v>0.82</v>
      </c>
      <c r="M71" s="7">
        <v>0.85</v>
      </c>
      <c r="N71" t="s">
        <v>55</v>
      </c>
      <c r="O71" t="s">
        <v>56</v>
      </c>
      <c r="P71" t="s">
        <v>63</v>
      </c>
      <c r="Q71" t="s">
        <v>64</v>
      </c>
      <c r="R71" t="s">
        <v>178</v>
      </c>
      <c r="S71" s="12">
        <v>46226.4166666667</v>
      </c>
      <c r="T71" s="12">
        <v>46226.4520833333</v>
      </c>
      <c r="U71" s="12">
        <v>46226.525</v>
      </c>
      <c r="V71" t="s">
        <v>170</v>
      </c>
      <c r="W71" s="7">
        <v>0.85</v>
      </c>
      <c r="X71" s="7">
        <v>0</v>
      </c>
      <c r="Y71" s="8">
        <v>21.25</v>
      </c>
      <c r="Z71" s="8">
        <v>11</v>
      </c>
      <c r="AA71" s="8">
        <v>0.5</v>
      </c>
      <c r="AB71" s="8">
        <v>5</v>
      </c>
      <c r="AC71" s="8">
        <v>37.75</v>
      </c>
      <c r="AD71" s="8">
        <v>54.74</v>
      </c>
      <c r="AE71" s="8">
        <v>16.99</v>
      </c>
      <c r="AF71" t="s">
        <v>20</v>
      </c>
    </row>
    <row r="72" spans="1:32">
      <c r="A72" t="s">
        <v>327</v>
      </c>
      <c r="B72" s="10">
        <v>46219</v>
      </c>
      <c r="C72">
        <v>29</v>
      </c>
      <c r="D72" t="s">
        <v>212</v>
      </c>
      <c r="E72" t="s">
        <v>328</v>
      </c>
      <c r="F72" t="s">
        <v>128</v>
      </c>
      <c r="G72" t="s">
        <v>78</v>
      </c>
      <c r="H72" t="s">
        <v>127</v>
      </c>
      <c r="I72">
        <v>60000</v>
      </c>
      <c r="J72" t="s">
        <v>115</v>
      </c>
      <c r="K72" s="7">
        <v>7.73</v>
      </c>
      <c r="L72" s="11">
        <v>0.82</v>
      </c>
      <c r="M72" s="7">
        <v>9.43</v>
      </c>
      <c r="N72" t="s">
        <v>59</v>
      </c>
      <c r="O72" t="s">
        <v>60</v>
      </c>
      <c r="P72" t="s">
        <v>63</v>
      </c>
      <c r="Q72" t="s">
        <v>64</v>
      </c>
      <c r="R72" t="s">
        <v>181</v>
      </c>
      <c r="S72" s="12">
        <v>46219.5833333333</v>
      </c>
      <c r="T72" s="12">
        <v>46219.97625</v>
      </c>
      <c r="U72" s="12">
        <v>46220.0491666667</v>
      </c>
      <c r="V72" t="s">
        <v>165</v>
      </c>
      <c r="W72" s="7">
        <v>6.43</v>
      </c>
      <c r="X72" s="7">
        <v>3</v>
      </c>
      <c r="Y72" s="8">
        <v>235.75</v>
      </c>
      <c r="Z72" s="8">
        <v>11</v>
      </c>
      <c r="AA72" s="8">
        <v>0.5</v>
      </c>
      <c r="AB72" s="8">
        <v>5</v>
      </c>
      <c r="AC72" s="8">
        <v>252.25</v>
      </c>
      <c r="AD72" s="8">
        <v>365.76</v>
      </c>
      <c r="AE72" s="8">
        <v>113.51</v>
      </c>
      <c r="AF72" t="s">
        <v>20</v>
      </c>
    </row>
    <row r="73" spans="1:32">
      <c r="A73" t="s">
        <v>329</v>
      </c>
      <c r="B73" s="10">
        <v>46220</v>
      </c>
      <c r="C73">
        <v>29</v>
      </c>
      <c r="D73" t="s">
        <v>162</v>
      </c>
      <c r="E73" t="s">
        <v>330</v>
      </c>
      <c r="F73" t="s">
        <v>128</v>
      </c>
      <c r="G73" t="s">
        <v>96</v>
      </c>
      <c r="H73" t="s">
        <v>130</v>
      </c>
      <c r="I73">
        <v>90000</v>
      </c>
      <c r="J73" t="s">
        <v>121</v>
      </c>
      <c r="K73" s="7">
        <v>4.71</v>
      </c>
      <c r="L73" s="11">
        <v>0.82</v>
      </c>
      <c r="M73" s="7">
        <v>5.74</v>
      </c>
      <c r="N73" t="s">
        <v>57</v>
      </c>
      <c r="O73" t="s">
        <v>58</v>
      </c>
      <c r="P73" t="s">
        <v>66</v>
      </c>
      <c r="Q73" t="s">
        <v>67</v>
      </c>
      <c r="R73" t="s">
        <v>184</v>
      </c>
      <c r="S73" s="12">
        <v>46220.6458333333</v>
      </c>
      <c r="T73" s="12">
        <v>46220.885</v>
      </c>
      <c r="U73" s="12">
        <v>46220.9579166667</v>
      </c>
      <c r="V73" t="s">
        <v>165</v>
      </c>
      <c r="W73" s="7">
        <v>2.74</v>
      </c>
      <c r="X73" s="7">
        <v>3</v>
      </c>
      <c r="Y73" s="8">
        <v>143.5</v>
      </c>
      <c r="Z73" s="8">
        <v>11</v>
      </c>
      <c r="AA73" s="8">
        <v>0.5</v>
      </c>
      <c r="AB73" s="8">
        <v>5</v>
      </c>
      <c r="AC73" s="8">
        <v>160</v>
      </c>
      <c r="AD73" s="8">
        <v>232</v>
      </c>
      <c r="AE73" s="8">
        <v>72</v>
      </c>
      <c r="AF73" t="s">
        <v>20</v>
      </c>
    </row>
    <row r="74" spans="1:32">
      <c r="A74" t="s">
        <v>331</v>
      </c>
      <c r="B74" s="10">
        <v>46230</v>
      </c>
      <c r="C74">
        <v>31</v>
      </c>
      <c r="D74" t="s">
        <v>162</v>
      </c>
      <c r="E74" t="s">
        <v>332</v>
      </c>
      <c r="F74" t="s">
        <v>128</v>
      </c>
      <c r="G74" t="s">
        <v>90</v>
      </c>
      <c r="H74" t="s">
        <v>130</v>
      </c>
      <c r="I74">
        <v>65000</v>
      </c>
      <c r="J74" t="s">
        <v>116</v>
      </c>
      <c r="K74" s="7">
        <v>0.5</v>
      </c>
      <c r="L74" s="11">
        <v>0.82</v>
      </c>
      <c r="M74" s="7">
        <v>0.61</v>
      </c>
      <c r="N74" t="s">
        <v>55</v>
      </c>
      <c r="O74" t="s">
        <v>56</v>
      </c>
      <c r="P74" t="s">
        <v>63</v>
      </c>
      <c r="Q74" t="s">
        <v>64</v>
      </c>
      <c r="R74" t="s">
        <v>164</v>
      </c>
      <c r="S74" s="12">
        <v>46230.3333333333</v>
      </c>
      <c r="T74" s="12">
        <v>46230.35875</v>
      </c>
      <c r="U74" s="12">
        <v>46230.4316666667</v>
      </c>
      <c r="V74" t="s">
        <v>201</v>
      </c>
      <c r="W74" s="7">
        <v>0.61</v>
      </c>
      <c r="X74" s="7">
        <v>0</v>
      </c>
      <c r="Y74" s="8">
        <v>15.25</v>
      </c>
      <c r="Z74" s="8">
        <v>11</v>
      </c>
      <c r="AA74" s="8">
        <v>0.5</v>
      </c>
      <c r="AB74" s="8">
        <v>5</v>
      </c>
      <c r="AC74" s="8">
        <v>31.75</v>
      </c>
      <c r="AD74" s="8">
        <v>46.04</v>
      </c>
      <c r="AE74" s="8">
        <v>14.29</v>
      </c>
      <c r="AF74" t="s">
        <v>20</v>
      </c>
    </row>
    <row r="75" spans="1:32">
      <c r="A75" t="s">
        <v>333</v>
      </c>
      <c r="B75" s="10">
        <v>46219</v>
      </c>
      <c r="C75">
        <v>29</v>
      </c>
      <c r="D75" t="s">
        <v>207</v>
      </c>
      <c r="E75" t="s">
        <v>334</v>
      </c>
      <c r="F75" t="s">
        <v>128</v>
      </c>
      <c r="G75" t="s">
        <v>95</v>
      </c>
      <c r="H75" t="s">
        <v>130</v>
      </c>
      <c r="I75">
        <v>90000</v>
      </c>
      <c r="J75" t="s">
        <v>121</v>
      </c>
      <c r="K75" s="7">
        <v>4.96</v>
      </c>
      <c r="L75" s="11">
        <v>0.82</v>
      </c>
      <c r="M75" s="7">
        <v>6.05</v>
      </c>
      <c r="N75" t="s">
        <v>61</v>
      </c>
      <c r="O75" t="s">
        <v>62</v>
      </c>
      <c r="P75" t="s">
        <v>66</v>
      </c>
      <c r="Q75" t="s">
        <v>67</v>
      </c>
      <c r="R75" t="s">
        <v>169</v>
      </c>
      <c r="S75" s="12">
        <v>46219.4166666667</v>
      </c>
      <c r="T75" s="12">
        <v>46219.7104166667</v>
      </c>
      <c r="U75" s="12">
        <v>46219.7833333333</v>
      </c>
      <c r="V75" t="s">
        <v>170</v>
      </c>
      <c r="W75" s="7">
        <v>6.05</v>
      </c>
      <c r="X75" s="7">
        <v>0</v>
      </c>
      <c r="Y75" s="8">
        <v>151.25</v>
      </c>
      <c r="Z75" s="8">
        <v>11</v>
      </c>
      <c r="AA75" s="8">
        <v>0.5</v>
      </c>
      <c r="AB75" s="8">
        <v>5</v>
      </c>
      <c r="AC75" s="8">
        <v>167.75</v>
      </c>
      <c r="AD75" s="8">
        <v>243.24</v>
      </c>
      <c r="AE75" s="8">
        <v>75.49</v>
      </c>
      <c r="AF75" t="s">
        <v>20</v>
      </c>
    </row>
    <row r="76" spans="1:32">
      <c r="A76" t="s">
        <v>335</v>
      </c>
      <c r="B76" s="10">
        <v>46224</v>
      </c>
      <c r="C76">
        <v>30</v>
      </c>
      <c r="D76" t="s">
        <v>167</v>
      </c>
      <c r="E76" t="s">
        <v>336</v>
      </c>
      <c r="F76" t="s">
        <v>128</v>
      </c>
      <c r="G76" t="s">
        <v>77</v>
      </c>
      <c r="H76" t="s">
        <v>127</v>
      </c>
      <c r="I76">
        <v>70000</v>
      </c>
      <c r="J76" t="s">
        <v>117</v>
      </c>
      <c r="K76" s="7">
        <v>3.03</v>
      </c>
      <c r="L76" s="11">
        <v>0.82</v>
      </c>
      <c r="M76" s="7">
        <v>3.7</v>
      </c>
      <c r="N76" t="s">
        <v>53</v>
      </c>
      <c r="O76" t="s">
        <v>54</v>
      </c>
      <c r="P76" t="s">
        <v>63</v>
      </c>
      <c r="Q76" t="s">
        <v>64</v>
      </c>
      <c r="R76" t="s">
        <v>174</v>
      </c>
      <c r="S76" s="12">
        <v>46224.5833333333</v>
      </c>
      <c r="T76" s="12">
        <v>46224.7375</v>
      </c>
      <c r="U76" s="12">
        <v>46224.8104166667</v>
      </c>
      <c r="V76" t="s">
        <v>170</v>
      </c>
      <c r="W76" s="7">
        <v>3.5</v>
      </c>
      <c r="X76" s="7">
        <v>0.2</v>
      </c>
      <c r="Y76" s="8">
        <v>92.5</v>
      </c>
      <c r="Z76" s="8">
        <v>11</v>
      </c>
      <c r="AA76" s="8">
        <v>0.5</v>
      </c>
      <c r="AB76" s="8">
        <v>5</v>
      </c>
      <c r="AC76" s="8">
        <v>109</v>
      </c>
      <c r="AD76" s="8">
        <v>158.05</v>
      </c>
      <c r="AE76" s="8">
        <v>49.05</v>
      </c>
      <c r="AF76" t="s">
        <v>20</v>
      </c>
    </row>
    <row r="77" spans="1:32">
      <c r="A77" t="s">
        <v>337</v>
      </c>
      <c r="B77" s="10">
        <v>46219</v>
      </c>
      <c r="C77">
        <v>29</v>
      </c>
      <c r="D77" t="s">
        <v>297</v>
      </c>
      <c r="E77" t="s">
        <v>338</v>
      </c>
      <c r="F77" t="s">
        <v>128</v>
      </c>
      <c r="G77" t="s">
        <v>85</v>
      </c>
      <c r="H77" t="s">
        <v>130</v>
      </c>
      <c r="I77">
        <v>40000</v>
      </c>
      <c r="J77" t="s">
        <v>111</v>
      </c>
      <c r="K77" s="7">
        <v>4.96</v>
      </c>
      <c r="L77" s="11">
        <v>0.82</v>
      </c>
      <c r="M77" s="7">
        <v>6.05</v>
      </c>
      <c r="N77" t="s">
        <v>57</v>
      </c>
      <c r="O77" t="s">
        <v>58</v>
      </c>
      <c r="P77" t="s">
        <v>63</v>
      </c>
      <c r="Q77" t="s">
        <v>64</v>
      </c>
      <c r="R77" t="s">
        <v>178</v>
      </c>
      <c r="S77" s="12">
        <v>46219.6458333333</v>
      </c>
      <c r="T77" s="12">
        <v>46219.8979166667</v>
      </c>
      <c r="U77" s="12">
        <v>46219.9708333333</v>
      </c>
      <c r="V77" t="s">
        <v>165</v>
      </c>
      <c r="W77" s="7">
        <v>3.05</v>
      </c>
      <c r="X77" s="7">
        <v>3</v>
      </c>
      <c r="Y77" s="8">
        <v>151.25</v>
      </c>
      <c r="Z77" s="8">
        <v>11</v>
      </c>
      <c r="AA77" s="8">
        <v>0.5</v>
      </c>
      <c r="AB77" s="8">
        <v>5</v>
      </c>
      <c r="AC77" s="8">
        <v>167.75</v>
      </c>
      <c r="AD77" s="8">
        <v>243.24</v>
      </c>
      <c r="AE77" s="8">
        <v>75.49</v>
      </c>
      <c r="AF77" t="s">
        <v>20</v>
      </c>
    </row>
    <row r="78" spans="1:32">
      <c r="A78" t="s">
        <v>339</v>
      </c>
      <c r="B78" s="10">
        <v>46220</v>
      </c>
      <c r="C78">
        <v>29</v>
      </c>
      <c r="D78" t="s">
        <v>199</v>
      </c>
      <c r="E78" t="s">
        <v>340</v>
      </c>
      <c r="F78" t="s">
        <v>128</v>
      </c>
      <c r="G78" t="s">
        <v>85</v>
      </c>
      <c r="H78" t="s">
        <v>130</v>
      </c>
      <c r="I78">
        <v>1000000</v>
      </c>
      <c r="J78" t="s">
        <v>123</v>
      </c>
      <c r="K78" s="7">
        <v>5.66</v>
      </c>
      <c r="L78" s="11">
        <v>0.82</v>
      </c>
      <c r="M78" s="7">
        <v>6.9</v>
      </c>
      <c r="N78" t="s">
        <v>59</v>
      </c>
      <c r="O78" t="s">
        <v>60</v>
      </c>
      <c r="P78" t="s">
        <v>63</v>
      </c>
      <c r="Q78" t="s">
        <v>64</v>
      </c>
      <c r="R78" t="s">
        <v>181</v>
      </c>
      <c r="S78" s="12">
        <v>46220.3333333333</v>
      </c>
      <c r="T78" s="12">
        <v>46220.6625</v>
      </c>
      <c r="U78" s="12">
        <v>46220.7354166667</v>
      </c>
      <c r="V78" t="s">
        <v>201</v>
      </c>
      <c r="W78" s="7">
        <v>6.9</v>
      </c>
      <c r="X78" s="7">
        <v>0</v>
      </c>
      <c r="Y78" s="8">
        <v>172.5</v>
      </c>
      <c r="Z78" s="8">
        <v>11</v>
      </c>
      <c r="AA78" s="8">
        <v>0.5</v>
      </c>
      <c r="AB78" s="8">
        <v>5</v>
      </c>
      <c r="AC78" s="8">
        <v>189</v>
      </c>
      <c r="AD78" s="8">
        <v>274.05</v>
      </c>
      <c r="AE78" s="8">
        <v>85.05</v>
      </c>
      <c r="AF78" t="s">
        <v>20</v>
      </c>
    </row>
    <row r="79" spans="1:32">
      <c r="A79" t="s">
        <v>341</v>
      </c>
      <c r="B79" s="10">
        <v>46219</v>
      </c>
      <c r="C79">
        <v>29</v>
      </c>
      <c r="D79" t="s">
        <v>227</v>
      </c>
      <c r="E79" t="s">
        <v>342</v>
      </c>
      <c r="F79" t="s">
        <v>128</v>
      </c>
      <c r="G79" t="s">
        <v>100</v>
      </c>
      <c r="H79" t="s">
        <v>130</v>
      </c>
      <c r="I79">
        <v>30000</v>
      </c>
      <c r="J79" t="s">
        <v>109</v>
      </c>
      <c r="K79" s="7">
        <v>4.01</v>
      </c>
      <c r="L79" s="11">
        <v>0.82</v>
      </c>
      <c r="M79" s="7">
        <v>4.89</v>
      </c>
      <c r="N79" t="s">
        <v>55</v>
      </c>
      <c r="O79" t="s">
        <v>56</v>
      </c>
      <c r="P79" t="s">
        <v>66</v>
      </c>
      <c r="Q79" t="s">
        <v>67</v>
      </c>
      <c r="R79" t="s">
        <v>184</v>
      </c>
      <c r="S79" s="12">
        <v>46219.4166666667</v>
      </c>
      <c r="T79" s="12">
        <v>46219.6620833333</v>
      </c>
      <c r="U79" s="12">
        <v>46219.735</v>
      </c>
      <c r="V79" t="s">
        <v>165</v>
      </c>
      <c r="W79" s="7">
        <v>4.89</v>
      </c>
      <c r="X79" s="7">
        <v>0</v>
      </c>
      <c r="Y79" s="8">
        <v>122.25</v>
      </c>
      <c r="Z79" s="8">
        <v>11</v>
      </c>
      <c r="AA79" s="8">
        <v>0.5</v>
      </c>
      <c r="AB79" s="8">
        <v>5</v>
      </c>
      <c r="AC79" s="8">
        <v>138.75</v>
      </c>
      <c r="AD79" s="8">
        <v>201.19</v>
      </c>
      <c r="AE79" s="8">
        <v>62.44</v>
      </c>
      <c r="AF79" t="s">
        <v>20</v>
      </c>
    </row>
    <row r="80" spans="1:32">
      <c r="A80" t="s">
        <v>343</v>
      </c>
      <c r="B80" s="10">
        <v>46220</v>
      </c>
      <c r="C80">
        <v>29</v>
      </c>
      <c r="D80" t="s">
        <v>221</v>
      </c>
      <c r="E80" t="s">
        <v>344</v>
      </c>
      <c r="F80" t="s">
        <v>128</v>
      </c>
      <c r="G80" t="s">
        <v>88</v>
      </c>
      <c r="H80" t="s">
        <v>130</v>
      </c>
      <c r="I80">
        <v>40000</v>
      </c>
      <c r="J80" t="s">
        <v>111</v>
      </c>
      <c r="K80" s="7">
        <v>3.86</v>
      </c>
      <c r="L80" s="11">
        <v>0.82</v>
      </c>
      <c r="M80" s="7">
        <v>4.71</v>
      </c>
      <c r="N80" t="s">
        <v>50</v>
      </c>
      <c r="O80" t="s">
        <v>51</v>
      </c>
      <c r="P80" t="s">
        <v>66</v>
      </c>
      <c r="Q80" t="s">
        <v>67</v>
      </c>
      <c r="R80" t="s">
        <v>164</v>
      </c>
      <c r="S80" s="12">
        <v>46220.5833333333</v>
      </c>
      <c r="T80" s="12">
        <v>46220.7795833333</v>
      </c>
      <c r="U80" s="12">
        <v>46220.8525</v>
      </c>
      <c r="V80" t="s">
        <v>165</v>
      </c>
      <c r="W80" s="7">
        <v>3.5</v>
      </c>
      <c r="X80" s="7">
        <v>1.21</v>
      </c>
      <c r="Y80" s="8">
        <v>117.75</v>
      </c>
      <c r="Z80" s="8">
        <v>11</v>
      </c>
      <c r="AA80" s="8">
        <v>0.5</v>
      </c>
      <c r="AB80" s="8">
        <v>5</v>
      </c>
      <c r="AC80" s="8">
        <v>134.25</v>
      </c>
      <c r="AD80" s="8">
        <v>194.66</v>
      </c>
      <c r="AE80" s="8">
        <v>60.41</v>
      </c>
      <c r="AF80" t="s">
        <v>20</v>
      </c>
    </row>
    <row r="81" spans="1:32">
      <c r="A81" t="s">
        <v>345</v>
      </c>
      <c r="B81" s="10">
        <v>46227</v>
      </c>
      <c r="C81">
        <v>30</v>
      </c>
      <c r="D81" t="s">
        <v>172</v>
      </c>
      <c r="E81" t="s">
        <v>346</v>
      </c>
      <c r="F81" t="s">
        <v>128</v>
      </c>
      <c r="G81" t="s">
        <v>76</v>
      </c>
      <c r="H81" t="s">
        <v>127</v>
      </c>
      <c r="I81">
        <v>35000</v>
      </c>
      <c r="J81" t="s">
        <v>110</v>
      </c>
      <c r="K81" s="7">
        <v>0.5</v>
      </c>
      <c r="L81" s="11">
        <v>0.82</v>
      </c>
      <c r="M81" s="7">
        <v>0.61</v>
      </c>
      <c r="N81" t="s">
        <v>50</v>
      </c>
      <c r="O81" t="s">
        <v>51</v>
      </c>
      <c r="P81" t="s">
        <v>63</v>
      </c>
      <c r="Q81" t="s">
        <v>64</v>
      </c>
      <c r="R81" t="s">
        <v>169</v>
      </c>
      <c r="S81" s="12">
        <v>46227.6458333333</v>
      </c>
      <c r="T81" s="12">
        <v>46227.67125</v>
      </c>
      <c r="U81" s="12">
        <v>46227.7441666667</v>
      </c>
      <c r="V81" t="s">
        <v>170</v>
      </c>
      <c r="W81" s="7">
        <v>0.61</v>
      </c>
      <c r="X81" s="7">
        <v>0</v>
      </c>
      <c r="Y81" s="8">
        <v>15.25</v>
      </c>
      <c r="Z81" s="8">
        <v>11</v>
      </c>
      <c r="AA81" s="8">
        <v>0.5</v>
      </c>
      <c r="AB81" s="8">
        <v>5</v>
      </c>
      <c r="AC81" s="8">
        <v>31.75</v>
      </c>
      <c r="AD81" s="8">
        <v>46.04</v>
      </c>
      <c r="AE81" s="8">
        <v>14.29</v>
      </c>
      <c r="AF81" t="s">
        <v>20</v>
      </c>
    </row>
    <row r="82" spans="1:32">
      <c r="A82" t="s">
        <v>347</v>
      </c>
      <c r="B82" s="10">
        <v>46226</v>
      </c>
      <c r="C82">
        <v>30</v>
      </c>
      <c r="D82" t="s">
        <v>176</v>
      </c>
      <c r="E82" t="s">
        <v>348</v>
      </c>
      <c r="F82" t="s">
        <v>128</v>
      </c>
      <c r="G82" t="s">
        <v>80</v>
      </c>
      <c r="H82" t="s">
        <v>127</v>
      </c>
      <c r="I82">
        <v>45000</v>
      </c>
      <c r="J82" t="s">
        <v>112</v>
      </c>
      <c r="K82" s="7">
        <v>0.8</v>
      </c>
      <c r="L82" s="11">
        <v>0.82</v>
      </c>
      <c r="M82" s="7">
        <v>0.98</v>
      </c>
      <c r="N82" t="s">
        <v>55</v>
      </c>
      <c r="O82" t="s">
        <v>56</v>
      </c>
      <c r="P82" t="s">
        <v>66</v>
      </c>
      <c r="Q82" t="s">
        <v>67</v>
      </c>
      <c r="R82" t="s">
        <v>174</v>
      </c>
      <c r="S82" s="12">
        <v>46226.3333333333</v>
      </c>
      <c r="T82" s="12">
        <v>46226.3741666667</v>
      </c>
      <c r="U82" s="12">
        <v>46226.4470833333</v>
      </c>
      <c r="V82" t="s">
        <v>6</v>
      </c>
      <c r="W82" s="7">
        <v>0.98</v>
      </c>
      <c r="X82" s="7">
        <v>0</v>
      </c>
      <c r="Y82" s="8">
        <v>24.5</v>
      </c>
      <c r="Z82" s="8">
        <v>11</v>
      </c>
      <c r="AA82" s="8">
        <v>0.5</v>
      </c>
      <c r="AB82" s="8">
        <v>5</v>
      </c>
      <c r="AC82" s="8">
        <v>41</v>
      </c>
      <c r="AD82" s="8">
        <v>59.45</v>
      </c>
      <c r="AE82" s="8">
        <v>18.45</v>
      </c>
      <c r="AF82" t="s">
        <v>20</v>
      </c>
    </row>
    <row r="83" spans="1:32">
      <c r="A83" t="s">
        <v>349</v>
      </c>
      <c r="B83" s="10">
        <v>46223</v>
      </c>
      <c r="C83">
        <v>30</v>
      </c>
      <c r="D83" t="s">
        <v>224</v>
      </c>
      <c r="E83" t="s">
        <v>350</v>
      </c>
      <c r="F83" t="s">
        <v>128</v>
      </c>
      <c r="G83" t="s">
        <v>87</v>
      </c>
      <c r="H83" t="s">
        <v>130</v>
      </c>
      <c r="I83">
        <v>65000</v>
      </c>
      <c r="J83" t="s">
        <v>116</v>
      </c>
      <c r="K83" s="7">
        <v>0.6</v>
      </c>
      <c r="L83" s="11">
        <v>0.82</v>
      </c>
      <c r="M83" s="7">
        <v>0.73</v>
      </c>
      <c r="N83" t="s">
        <v>59</v>
      </c>
      <c r="O83" t="s">
        <v>60</v>
      </c>
      <c r="P83" t="s">
        <v>63</v>
      </c>
      <c r="Q83" t="s">
        <v>64</v>
      </c>
      <c r="R83" t="s">
        <v>178</v>
      </c>
      <c r="S83" s="12">
        <v>46223.4166666667</v>
      </c>
      <c r="T83" s="12">
        <v>46223.4470833333</v>
      </c>
      <c r="U83" s="12">
        <v>46223.52</v>
      </c>
      <c r="V83" t="s">
        <v>165</v>
      </c>
      <c r="W83" s="7">
        <v>0.73</v>
      </c>
      <c r="X83" s="7">
        <v>0</v>
      </c>
      <c r="Y83" s="8">
        <v>18.25</v>
      </c>
      <c r="Z83" s="8">
        <v>11</v>
      </c>
      <c r="AA83" s="8">
        <v>0.5</v>
      </c>
      <c r="AB83" s="8">
        <v>5</v>
      </c>
      <c r="AC83" s="8">
        <v>34.75</v>
      </c>
      <c r="AD83" s="8">
        <v>50.39</v>
      </c>
      <c r="AE83" s="8">
        <v>15.64</v>
      </c>
      <c r="AF83" t="s">
        <v>20</v>
      </c>
    </row>
    <row r="84" spans="1:32">
      <c r="A84" t="s">
        <v>351</v>
      </c>
      <c r="B84" s="10">
        <v>46230</v>
      </c>
      <c r="C84">
        <v>31</v>
      </c>
      <c r="D84" t="s">
        <v>194</v>
      </c>
      <c r="E84" t="s">
        <v>352</v>
      </c>
      <c r="F84" t="s">
        <v>128</v>
      </c>
      <c r="G84" t="s">
        <v>89</v>
      </c>
      <c r="H84" t="s">
        <v>130</v>
      </c>
      <c r="I84">
        <v>20000</v>
      </c>
      <c r="J84" t="s">
        <v>107</v>
      </c>
      <c r="K84" s="7">
        <v>3.86</v>
      </c>
      <c r="L84" s="11">
        <v>0.82</v>
      </c>
      <c r="M84" s="7">
        <v>4.71</v>
      </c>
      <c r="N84" t="s">
        <v>57</v>
      </c>
      <c r="O84" t="s">
        <v>58</v>
      </c>
      <c r="P84" t="s">
        <v>66</v>
      </c>
      <c r="Q84" t="s">
        <v>67</v>
      </c>
      <c r="R84" t="s">
        <v>181</v>
      </c>
      <c r="S84" s="12">
        <v>46230.5833333333</v>
      </c>
      <c r="T84" s="12">
        <v>46230.7795833333</v>
      </c>
      <c r="U84" s="12">
        <v>46230.8525</v>
      </c>
      <c r="V84" t="s">
        <v>6</v>
      </c>
      <c r="W84" s="7">
        <v>3.5</v>
      </c>
      <c r="X84" s="7">
        <v>1.21</v>
      </c>
      <c r="Y84" s="8">
        <v>117.75</v>
      </c>
      <c r="Z84" s="8">
        <v>11</v>
      </c>
      <c r="AA84" s="8">
        <v>0.5</v>
      </c>
      <c r="AB84" s="8">
        <v>5</v>
      </c>
      <c r="AC84" s="8">
        <v>134.25</v>
      </c>
      <c r="AD84" s="8">
        <v>194.66</v>
      </c>
      <c r="AE84" s="8">
        <v>60.41</v>
      </c>
      <c r="AF84" t="s">
        <v>20</v>
      </c>
    </row>
    <row r="85" spans="1:32">
      <c r="A85" t="s">
        <v>353</v>
      </c>
      <c r="B85" s="10">
        <v>46218</v>
      </c>
      <c r="C85">
        <v>29</v>
      </c>
      <c r="D85" t="s">
        <v>221</v>
      </c>
      <c r="E85" t="s">
        <v>354</v>
      </c>
      <c r="F85" t="s">
        <v>128</v>
      </c>
      <c r="G85" t="s">
        <v>81</v>
      </c>
      <c r="H85" t="s">
        <v>129</v>
      </c>
      <c r="I85">
        <v>35000</v>
      </c>
      <c r="J85" t="s">
        <v>110</v>
      </c>
      <c r="K85" s="7">
        <v>0.5</v>
      </c>
      <c r="L85" s="11">
        <v>0.82</v>
      </c>
      <c r="M85" s="7">
        <v>0.61</v>
      </c>
      <c r="N85" t="s">
        <v>57</v>
      </c>
      <c r="O85" t="s">
        <v>58</v>
      </c>
      <c r="P85" t="s">
        <v>66</v>
      </c>
      <c r="Q85" t="s">
        <v>67</v>
      </c>
      <c r="R85" t="s">
        <v>184</v>
      </c>
      <c r="S85" s="12">
        <v>46218.6458333333</v>
      </c>
      <c r="T85" s="12">
        <v>46218.67125</v>
      </c>
      <c r="U85" s="12">
        <v>46218.7441666667</v>
      </c>
      <c r="V85" t="s">
        <v>201</v>
      </c>
      <c r="W85" s="7">
        <v>0.61</v>
      </c>
      <c r="X85" s="7">
        <v>0</v>
      </c>
      <c r="Y85" s="8">
        <v>15.25</v>
      </c>
      <c r="Z85" s="8">
        <v>11</v>
      </c>
      <c r="AA85" s="8">
        <v>0.5</v>
      </c>
      <c r="AB85" s="8">
        <v>5</v>
      </c>
      <c r="AC85" s="8">
        <v>31.75</v>
      </c>
      <c r="AD85" s="8">
        <v>46.04</v>
      </c>
      <c r="AE85" s="8">
        <v>14.29</v>
      </c>
      <c r="AF85" t="s">
        <v>20</v>
      </c>
    </row>
    <row r="86" spans="1:32">
      <c r="A86" t="s">
        <v>355</v>
      </c>
      <c r="B86" s="10">
        <v>46230</v>
      </c>
      <c r="C86">
        <v>31</v>
      </c>
      <c r="D86" t="s">
        <v>167</v>
      </c>
      <c r="E86" t="s">
        <v>356</v>
      </c>
      <c r="F86" t="s">
        <v>128</v>
      </c>
      <c r="G86" t="s">
        <v>81</v>
      </c>
      <c r="H86" t="s">
        <v>129</v>
      </c>
      <c r="I86">
        <v>45000</v>
      </c>
      <c r="J86" t="s">
        <v>112</v>
      </c>
      <c r="K86" s="7">
        <v>0.7</v>
      </c>
      <c r="L86" s="11">
        <v>0.82</v>
      </c>
      <c r="M86" s="7">
        <v>0.85</v>
      </c>
      <c r="N86" t="s">
        <v>59</v>
      </c>
      <c r="O86" t="s">
        <v>60</v>
      </c>
      <c r="P86" t="s">
        <v>63</v>
      </c>
      <c r="Q86" t="s">
        <v>64</v>
      </c>
      <c r="R86" t="s">
        <v>164</v>
      </c>
      <c r="S86" s="12">
        <v>46230.3333333333</v>
      </c>
      <c r="T86" s="12">
        <v>46230.36875</v>
      </c>
      <c r="U86" s="12">
        <v>46230.4416666667</v>
      </c>
      <c r="V86" t="s">
        <v>170</v>
      </c>
      <c r="W86" s="7">
        <v>0.85</v>
      </c>
      <c r="X86" s="7">
        <v>0</v>
      </c>
      <c r="Y86" s="8">
        <v>21.25</v>
      </c>
      <c r="Z86" s="8">
        <v>11</v>
      </c>
      <c r="AA86" s="8">
        <v>0.5</v>
      </c>
      <c r="AB86" s="8">
        <v>5</v>
      </c>
      <c r="AC86" s="8">
        <v>37.75</v>
      </c>
      <c r="AD86" s="8">
        <v>54.74</v>
      </c>
      <c r="AE86" s="8">
        <v>16.99</v>
      </c>
      <c r="AF86" t="s">
        <v>20</v>
      </c>
    </row>
    <row r="87" spans="1:32">
      <c r="A87" t="s">
        <v>357</v>
      </c>
      <c r="B87" s="10">
        <v>46223</v>
      </c>
      <c r="C87">
        <v>30</v>
      </c>
      <c r="D87" t="s">
        <v>227</v>
      </c>
      <c r="E87" t="s">
        <v>358</v>
      </c>
      <c r="F87" t="s">
        <v>128</v>
      </c>
      <c r="G87" t="s">
        <v>83</v>
      </c>
      <c r="H87" t="s">
        <v>130</v>
      </c>
      <c r="I87">
        <v>90000</v>
      </c>
      <c r="J87" t="s">
        <v>121</v>
      </c>
      <c r="K87" s="7">
        <v>5.39</v>
      </c>
      <c r="L87" s="11">
        <v>0.82</v>
      </c>
      <c r="M87" s="7">
        <v>6.57</v>
      </c>
      <c r="N87" t="s">
        <v>61</v>
      </c>
      <c r="O87" t="s">
        <v>62</v>
      </c>
      <c r="P87" t="s">
        <v>66</v>
      </c>
      <c r="Q87" t="s">
        <v>67</v>
      </c>
      <c r="R87" t="s">
        <v>169</v>
      </c>
      <c r="S87" s="12">
        <v>46223.4166666667</v>
      </c>
      <c r="T87" s="12">
        <v>46223.7320833333</v>
      </c>
      <c r="U87" s="12">
        <v>46223.805</v>
      </c>
      <c r="V87" t="s">
        <v>165</v>
      </c>
      <c r="W87" s="7">
        <v>6.5</v>
      </c>
      <c r="X87" s="7">
        <v>0.07</v>
      </c>
      <c r="Y87" s="8">
        <v>164.25</v>
      </c>
      <c r="Z87" s="8">
        <v>11</v>
      </c>
      <c r="AA87" s="8">
        <v>0.5</v>
      </c>
      <c r="AB87" s="8">
        <v>5</v>
      </c>
      <c r="AC87" s="8">
        <v>180.75</v>
      </c>
      <c r="AD87" s="8">
        <v>262.09</v>
      </c>
      <c r="AE87" s="8">
        <v>81.34</v>
      </c>
      <c r="AF87" t="s">
        <v>20</v>
      </c>
    </row>
    <row r="88" spans="1:32">
      <c r="A88" t="s">
        <v>359</v>
      </c>
      <c r="B88" s="10">
        <v>46218</v>
      </c>
      <c r="C88">
        <v>29</v>
      </c>
      <c r="D88" t="s">
        <v>162</v>
      </c>
      <c r="E88" t="s">
        <v>360</v>
      </c>
      <c r="F88" t="s">
        <v>128</v>
      </c>
      <c r="G88" t="s">
        <v>88</v>
      </c>
      <c r="H88" t="s">
        <v>130</v>
      </c>
      <c r="I88">
        <v>30000</v>
      </c>
      <c r="J88" t="s">
        <v>109</v>
      </c>
      <c r="K88" s="7">
        <v>4.26</v>
      </c>
      <c r="L88" s="11">
        <v>0.82</v>
      </c>
      <c r="M88" s="7">
        <v>5.2</v>
      </c>
      <c r="N88" t="s">
        <v>59</v>
      </c>
      <c r="O88" t="s">
        <v>60</v>
      </c>
      <c r="P88" t="s">
        <v>63</v>
      </c>
      <c r="Q88" t="s">
        <v>64</v>
      </c>
      <c r="R88" t="s">
        <v>174</v>
      </c>
      <c r="S88" s="12">
        <v>46218.5833333333</v>
      </c>
      <c r="T88" s="12">
        <v>46218.8</v>
      </c>
      <c r="U88" s="12">
        <v>46218.8729166667</v>
      </c>
      <c r="V88" t="s">
        <v>165</v>
      </c>
      <c r="W88" s="7">
        <v>3.5</v>
      </c>
      <c r="X88" s="7">
        <v>1.7</v>
      </c>
      <c r="Y88" s="8">
        <v>130</v>
      </c>
      <c r="Z88" s="8">
        <v>11</v>
      </c>
      <c r="AA88" s="8">
        <v>0.5</v>
      </c>
      <c r="AB88" s="8">
        <v>5</v>
      </c>
      <c r="AC88" s="8">
        <v>146.5</v>
      </c>
      <c r="AD88" s="8">
        <v>212.42</v>
      </c>
      <c r="AE88" s="8">
        <v>65.92</v>
      </c>
      <c r="AF88" t="s">
        <v>20</v>
      </c>
    </row>
    <row r="89" spans="1:32">
      <c r="A89" t="s">
        <v>361</v>
      </c>
      <c r="B89" s="10">
        <v>46227</v>
      </c>
      <c r="C89">
        <v>30</v>
      </c>
      <c r="D89" t="s">
        <v>297</v>
      </c>
      <c r="E89" t="s">
        <v>362</v>
      </c>
      <c r="F89" t="s">
        <v>128</v>
      </c>
      <c r="G89" t="s">
        <v>78</v>
      </c>
      <c r="H89" t="s">
        <v>127</v>
      </c>
      <c r="I89">
        <v>85000</v>
      </c>
      <c r="J89" t="s">
        <v>120</v>
      </c>
      <c r="K89" s="7">
        <v>0.5</v>
      </c>
      <c r="L89" s="11">
        <v>0.82</v>
      </c>
      <c r="M89" s="7">
        <v>0.61</v>
      </c>
      <c r="N89" t="s">
        <v>50</v>
      </c>
      <c r="O89" t="s">
        <v>51</v>
      </c>
      <c r="P89" t="s">
        <v>66</v>
      </c>
      <c r="Q89" t="s">
        <v>67</v>
      </c>
      <c r="R89" t="s">
        <v>178</v>
      </c>
      <c r="S89" s="12">
        <v>46227.6458333333</v>
      </c>
      <c r="T89" s="12">
        <v>46227.67125</v>
      </c>
      <c r="U89" s="12">
        <v>46227.7441666667</v>
      </c>
      <c r="V89" t="s">
        <v>170</v>
      </c>
      <c r="W89" s="7">
        <v>0.61</v>
      </c>
      <c r="X89" s="7">
        <v>0</v>
      </c>
      <c r="Y89" s="8">
        <v>15.25</v>
      </c>
      <c r="Z89" s="8">
        <v>11</v>
      </c>
      <c r="AA89" s="8">
        <v>0.5</v>
      </c>
      <c r="AB89" s="8">
        <v>5</v>
      </c>
      <c r="AC89" s="8">
        <v>31.75</v>
      </c>
      <c r="AD89" s="8">
        <v>46.04</v>
      </c>
      <c r="AE89" s="8">
        <v>14.29</v>
      </c>
      <c r="AF89" t="s">
        <v>20</v>
      </c>
    </row>
    <row r="90" spans="1:32">
      <c r="A90" t="s">
        <v>363</v>
      </c>
      <c r="B90" s="10">
        <v>46220</v>
      </c>
      <c r="C90">
        <v>29</v>
      </c>
      <c r="D90" t="s">
        <v>188</v>
      </c>
      <c r="E90" t="s">
        <v>364</v>
      </c>
      <c r="F90" t="s">
        <v>128</v>
      </c>
      <c r="G90" t="s">
        <v>91</v>
      </c>
      <c r="H90" t="s">
        <v>130</v>
      </c>
      <c r="I90">
        <v>90000</v>
      </c>
      <c r="J90" t="s">
        <v>121</v>
      </c>
      <c r="K90" s="7">
        <v>5.39</v>
      </c>
      <c r="L90" s="11">
        <v>0.82</v>
      </c>
      <c r="M90" s="7">
        <v>6.57</v>
      </c>
      <c r="N90" t="s">
        <v>53</v>
      </c>
      <c r="O90" t="s">
        <v>54</v>
      </c>
      <c r="P90" t="s">
        <v>63</v>
      </c>
      <c r="Q90" t="s">
        <v>64</v>
      </c>
      <c r="R90" t="s">
        <v>181</v>
      </c>
      <c r="S90" s="12">
        <v>46220.3333333333</v>
      </c>
      <c r="T90" s="12">
        <v>46220.64875</v>
      </c>
      <c r="U90" s="12">
        <v>46220.7216666667</v>
      </c>
      <c r="V90" t="s">
        <v>170</v>
      </c>
      <c r="W90" s="7">
        <v>6.57</v>
      </c>
      <c r="X90" s="7">
        <v>0</v>
      </c>
      <c r="Y90" s="8">
        <v>164.25</v>
      </c>
      <c r="Z90" s="8">
        <v>11</v>
      </c>
      <c r="AA90" s="8">
        <v>0.5</v>
      </c>
      <c r="AB90" s="8">
        <v>5</v>
      </c>
      <c r="AC90" s="8">
        <v>180.75</v>
      </c>
      <c r="AD90" s="8">
        <v>262.09</v>
      </c>
      <c r="AE90" s="8">
        <v>81.34</v>
      </c>
      <c r="AF90" t="s">
        <v>20</v>
      </c>
    </row>
    <row r="91" spans="1:32">
      <c r="A91" t="s">
        <v>365</v>
      </c>
      <c r="B91" s="10">
        <v>46225</v>
      </c>
      <c r="C91">
        <v>30</v>
      </c>
      <c r="D91" t="s">
        <v>194</v>
      </c>
      <c r="E91" t="s">
        <v>366</v>
      </c>
      <c r="F91" t="s">
        <v>128</v>
      </c>
      <c r="G91" t="s">
        <v>91</v>
      </c>
      <c r="H91" t="s">
        <v>130</v>
      </c>
      <c r="I91">
        <v>1500</v>
      </c>
      <c r="J91" t="s">
        <v>103</v>
      </c>
      <c r="K91" s="7">
        <v>0.45</v>
      </c>
      <c r="L91" s="11">
        <v>0.82</v>
      </c>
      <c r="M91" s="7">
        <v>0.55</v>
      </c>
      <c r="N91" t="s">
        <v>57</v>
      </c>
      <c r="O91" t="s">
        <v>58</v>
      </c>
      <c r="P91" t="s">
        <v>66</v>
      </c>
      <c r="Q91" t="s">
        <v>67</v>
      </c>
      <c r="R91" t="s">
        <v>184</v>
      </c>
      <c r="S91" s="12">
        <v>46225.4166666667</v>
      </c>
      <c r="T91" s="12">
        <v>46225.4395833333</v>
      </c>
      <c r="U91" s="12">
        <v>46225.5125</v>
      </c>
      <c r="V91" t="s">
        <v>165</v>
      </c>
      <c r="W91" s="7">
        <v>0.55</v>
      </c>
      <c r="X91" s="7">
        <v>0</v>
      </c>
      <c r="Y91" s="8">
        <v>13.75</v>
      </c>
      <c r="Z91" s="8">
        <v>11</v>
      </c>
      <c r="AA91" s="8">
        <v>0.5</v>
      </c>
      <c r="AB91" s="8">
        <v>5</v>
      </c>
      <c r="AC91" s="8">
        <v>30.25</v>
      </c>
      <c r="AD91" s="8">
        <v>43.86</v>
      </c>
      <c r="AE91" s="8">
        <v>13.61</v>
      </c>
      <c r="AF91" t="s">
        <v>20</v>
      </c>
    </row>
    <row r="92" spans="1:32">
      <c r="A92" t="s">
        <v>367</v>
      </c>
      <c r="B92" s="10">
        <v>46218</v>
      </c>
      <c r="C92">
        <v>29</v>
      </c>
      <c r="D92" t="s">
        <v>207</v>
      </c>
      <c r="E92" t="s">
        <v>368</v>
      </c>
      <c r="F92" t="s">
        <v>128</v>
      </c>
      <c r="G92" t="s">
        <v>100</v>
      </c>
      <c r="H92" t="s">
        <v>130</v>
      </c>
      <c r="I92">
        <v>30000</v>
      </c>
      <c r="J92" t="s">
        <v>109</v>
      </c>
      <c r="K92" s="7">
        <v>4.01</v>
      </c>
      <c r="L92" s="11">
        <v>0.82</v>
      </c>
      <c r="M92" s="7">
        <v>4.89</v>
      </c>
      <c r="N92" t="s">
        <v>61</v>
      </c>
      <c r="O92" t="s">
        <v>62</v>
      </c>
      <c r="P92" t="s">
        <v>66</v>
      </c>
      <c r="Q92" t="s">
        <v>67</v>
      </c>
      <c r="R92" t="s">
        <v>164</v>
      </c>
      <c r="S92" s="12">
        <v>46218.5833333333</v>
      </c>
      <c r="T92" s="12">
        <v>46218.7870833333</v>
      </c>
      <c r="U92" s="12">
        <v>46218.86</v>
      </c>
      <c r="V92" t="s">
        <v>6</v>
      </c>
      <c r="W92" s="7">
        <v>3.5</v>
      </c>
      <c r="X92" s="7">
        <v>1.39</v>
      </c>
      <c r="Y92" s="8">
        <v>122.25</v>
      </c>
      <c r="Z92" s="8">
        <v>11</v>
      </c>
      <c r="AA92" s="8">
        <v>0.5</v>
      </c>
      <c r="AB92" s="8">
        <v>5</v>
      </c>
      <c r="AC92" s="8">
        <v>138.75</v>
      </c>
      <c r="AD92" s="8">
        <v>201.19</v>
      </c>
      <c r="AE92" s="8">
        <v>62.44</v>
      </c>
      <c r="AF92" t="s">
        <v>20</v>
      </c>
    </row>
    <row r="93" spans="1:32">
      <c r="A93" t="s">
        <v>369</v>
      </c>
      <c r="B93" s="10">
        <v>46230</v>
      </c>
      <c r="C93">
        <v>31</v>
      </c>
      <c r="D93" t="s">
        <v>221</v>
      </c>
      <c r="E93" t="s">
        <v>370</v>
      </c>
      <c r="F93" t="s">
        <v>128</v>
      </c>
      <c r="G93" t="s">
        <v>99</v>
      </c>
      <c r="H93" t="s">
        <v>130</v>
      </c>
      <c r="I93">
        <v>40000</v>
      </c>
      <c r="J93" t="s">
        <v>111</v>
      </c>
      <c r="K93" s="7">
        <v>5.46</v>
      </c>
      <c r="L93" s="11">
        <v>0.82</v>
      </c>
      <c r="M93" s="7">
        <v>6.66</v>
      </c>
      <c r="N93" t="s">
        <v>50</v>
      </c>
      <c r="O93" t="s">
        <v>51</v>
      </c>
      <c r="P93" t="s">
        <v>66</v>
      </c>
      <c r="Q93" t="s">
        <v>67</v>
      </c>
      <c r="R93" t="s">
        <v>169</v>
      </c>
      <c r="S93" s="12">
        <v>46230.6458333333</v>
      </c>
      <c r="T93" s="12">
        <v>46230.9233333333</v>
      </c>
      <c r="U93" s="12">
        <v>46230.99625</v>
      </c>
      <c r="V93" t="s">
        <v>170</v>
      </c>
      <c r="W93" s="7">
        <v>3.66</v>
      </c>
      <c r="X93" s="7">
        <v>3</v>
      </c>
      <c r="Y93" s="8">
        <v>166.5</v>
      </c>
      <c r="Z93" s="8">
        <v>11</v>
      </c>
      <c r="AA93" s="8">
        <v>0.5</v>
      </c>
      <c r="AB93" s="8">
        <v>5</v>
      </c>
      <c r="AC93" s="8">
        <v>183</v>
      </c>
      <c r="AD93" s="8">
        <v>265.35</v>
      </c>
      <c r="AE93" s="8">
        <v>82.35</v>
      </c>
      <c r="AF93" t="s">
        <v>20</v>
      </c>
    </row>
    <row r="94" spans="1:32">
      <c r="A94" t="s">
        <v>371</v>
      </c>
      <c r="B94" s="10">
        <v>46219</v>
      </c>
      <c r="C94">
        <v>29</v>
      </c>
      <c r="D94" t="s">
        <v>224</v>
      </c>
      <c r="E94" t="s">
        <v>372</v>
      </c>
      <c r="F94" t="s">
        <v>128</v>
      </c>
      <c r="G94" t="s">
        <v>97</v>
      </c>
      <c r="H94" t="s">
        <v>130</v>
      </c>
      <c r="I94">
        <v>35000</v>
      </c>
      <c r="J94" t="s">
        <v>110</v>
      </c>
      <c r="K94" s="7">
        <v>0.65</v>
      </c>
      <c r="L94" s="11">
        <v>0.82</v>
      </c>
      <c r="M94" s="7">
        <v>0.79</v>
      </c>
      <c r="N94" t="s">
        <v>53</v>
      </c>
      <c r="O94" t="s">
        <v>54</v>
      </c>
      <c r="P94" t="s">
        <v>63</v>
      </c>
      <c r="Q94" t="s">
        <v>64</v>
      </c>
      <c r="R94" t="s">
        <v>174</v>
      </c>
      <c r="S94" s="12">
        <v>46219.3333333333</v>
      </c>
      <c r="T94" s="12">
        <v>46219.36625</v>
      </c>
      <c r="U94" s="12">
        <v>46219.4391666667</v>
      </c>
      <c r="V94" t="s">
        <v>165</v>
      </c>
      <c r="W94" s="7">
        <v>0.79</v>
      </c>
      <c r="X94" s="7">
        <v>0</v>
      </c>
      <c r="Y94" s="8">
        <v>19.75</v>
      </c>
      <c r="Z94" s="8">
        <v>11</v>
      </c>
      <c r="AA94" s="8">
        <v>0.5</v>
      </c>
      <c r="AB94" s="8">
        <v>5</v>
      </c>
      <c r="AC94" s="8">
        <v>36.25</v>
      </c>
      <c r="AD94" s="8">
        <v>52.56</v>
      </c>
      <c r="AE94" s="8">
        <v>16.31</v>
      </c>
      <c r="AF94" t="s">
        <v>20</v>
      </c>
    </row>
    <row r="95" spans="1:32">
      <c r="A95" t="s">
        <v>373</v>
      </c>
      <c r="B95" s="10">
        <v>46223</v>
      </c>
      <c r="C95">
        <v>30</v>
      </c>
      <c r="D95" t="s">
        <v>194</v>
      </c>
      <c r="E95" t="s">
        <v>374</v>
      </c>
      <c r="F95" t="s">
        <v>128</v>
      </c>
      <c r="G95" t="s">
        <v>93</v>
      </c>
      <c r="H95" t="s">
        <v>130</v>
      </c>
      <c r="I95">
        <v>40000</v>
      </c>
      <c r="J95" t="s">
        <v>111</v>
      </c>
      <c r="K95" s="7">
        <v>3.76</v>
      </c>
      <c r="L95" s="11">
        <v>0.82</v>
      </c>
      <c r="M95" s="7">
        <v>4.59</v>
      </c>
      <c r="N95" t="s">
        <v>55</v>
      </c>
      <c r="O95" t="s">
        <v>56</v>
      </c>
      <c r="P95" t="s">
        <v>63</v>
      </c>
      <c r="Q95" t="s">
        <v>64</v>
      </c>
      <c r="R95" t="s">
        <v>178</v>
      </c>
      <c r="S95" s="12">
        <v>46223.4166666667</v>
      </c>
      <c r="T95" s="12">
        <v>46223.6495833333</v>
      </c>
      <c r="U95" s="12">
        <v>46223.7225</v>
      </c>
      <c r="V95" t="s">
        <v>201</v>
      </c>
      <c r="W95" s="7">
        <v>4.59</v>
      </c>
      <c r="X95" s="7">
        <v>0</v>
      </c>
      <c r="Y95" s="8">
        <v>114.75</v>
      </c>
      <c r="Z95" s="8">
        <v>11</v>
      </c>
      <c r="AA95" s="8">
        <v>0.5</v>
      </c>
      <c r="AB95" s="8">
        <v>5</v>
      </c>
      <c r="AC95" s="8">
        <v>131.25</v>
      </c>
      <c r="AD95" s="8">
        <v>190.31</v>
      </c>
      <c r="AE95" s="8">
        <v>59.06</v>
      </c>
      <c r="AF95" t="s">
        <v>20</v>
      </c>
    </row>
    <row r="96" spans="1:32">
      <c r="A96" t="s">
        <v>375</v>
      </c>
      <c r="B96" s="10">
        <v>46223</v>
      </c>
      <c r="C96">
        <v>30</v>
      </c>
      <c r="D96" t="s">
        <v>252</v>
      </c>
      <c r="E96" t="s">
        <v>376</v>
      </c>
      <c r="F96" t="s">
        <v>128</v>
      </c>
      <c r="G96" t="s">
        <v>78</v>
      </c>
      <c r="H96" t="s">
        <v>127</v>
      </c>
      <c r="I96">
        <v>10000</v>
      </c>
      <c r="J96" t="s">
        <v>105</v>
      </c>
      <c r="K96" s="7">
        <v>3.03</v>
      </c>
      <c r="L96" s="11">
        <v>0.82</v>
      </c>
      <c r="M96" s="7">
        <v>3.7</v>
      </c>
      <c r="N96" t="s">
        <v>57</v>
      </c>
      <c r="O96" t="s">
        <v>58</v>
      </c>
      <c r="P96" t="s">
        <v>66</v>
      </c>
      <c r="Q96" t="s">
        <v>67</v>
      </c>
      <c r="R96" t="s">
        <v>181</v>
      </c>
      <c r="S96" s="12">
        <v>46223.5833333333</v>
      </c>
      <c r="T96" s="12">
        <v>46223.7375</v>
      </c>
      <c r="U96" s="12">
        <v>46223.8104166667</v>
      </c>
      <c r="V96" t="s">
        <v>170</v>
      </c>
      <c r="W96" s="7">
        <v>3.5</v>
      </c>
      <c r="X96" s="7">
        <v>0.2</v>
      </c>
      <c r="Y96" s="8">
        <v>92.5</v>
      </c>
      <c r="Z96" s="8">
        <v>11</v>
      </c>
      <c r="AA96" s="8">
        <v>0.5</v>
      </c>
      <c r="AB96" s="8">
        <v>5</v>
      </c>
      <c r="AC96" s="8">
        <v>109</v>
      </c>
      <c r="AD96" s="8">
        <v>158.05</v>
      </c>
      <c r="AE96" s="8">
        <v>49.05</v>
      </c>
      <c r="AF96" t="s">
        <v>20</v>
      </c>
    </row>
    <row r="97" spans="1:32">
      <c r="A97" t="s">
        <v>377</v>
      </c>
      <c r="B97" s="10">
        <v>46230</v>
      </c>
      <c r="C97">
        <v>31</v>
      </c>
      <c r="D97" t="s">
        <v>172</v>
      </c>
      <c r="E97" t="s">
        <v>378</v>
      </c>
      <c r="F97" t="s">
        <v>128</v>
      </c>
      <c r="G97" t="s">
        <v>87</v>
      </c>
      <c r="H97" t="s">
        <v>130</v>
      </c>
      <c r="I97">
        <v>20000</v>
      </c>
      <c r="J97" t="s">
        <v>107</v>
      </c>
      <c r="K97" s="7">
        <v>3.26</v>
      </c>
      <c r="L97" s="11">
        <v>0.82</v>
      </c>
      <c r="M97" s="7">
        <v>3.98</v>
      </c>
      <c r="N97" t="s">
        <v>55</v>
      </c>
      <c r="O97" t="s">
        <v>56</v>
      </c>
      <c r="P97" t="s">
        <v>63</v>
      </c>
      <c r="Q97" t="s">
        <v>64</v>
      </c>
      <c r="R97" t="s">
        <v>184</v>
      </c>
      <c r="S97" s="12">
        <v>46230.6458333333</v>
      </c>
      <c r="T97" s="12">
        <v>46230.8116666667</v>
      </c>
      <c r="U97" s="12">
        <v>46230.8845833333</v>
      </c>
      <c r="V97" t="s">
        <v>165</v>
      </c>
      <c r="W97" s="7">
        <v>2</v>
      </c>
      <c r="X97" s="7">
        <v>1.98</v>
      </c>
      <c r="Y97" s="8">
        <v>99.5</v>
      </c>
      <c r="Z97" s="8">
        <v>11</v>
      </c>
      <c r="AA97" s="8">
        <v>0.5</v>
      </c>
      <c r="AB97" s="8">
        <v>5</v>
      </c>
      <c r="AC97" s="8">
        <v>116</v>
      </c>
      <c r="AD97" s="8">
        <v>168.2</v>
      </c>
      <c r="AE97" s="8">
        <v>52.2</v>
      </c>
      <c r="AF97" t="s">
        <v>20</v>
      </c>
    </row>
    <row r="98" spans="1:32">
      <c r="A98" t="s">
        <v>379</v>
      </c>
      <c r="B98" s="10">
        <v>46217</v>
      </c>
      <c r="C98">
        <v>29</v>
      </c>
      <c r="D98" t="s">
        <v>172</v>
      </c>
      <c r="E98" t="s">
        <v>380</v>
      </c>
      <c r="F98" t="s">
        <v>128</v>
      </c>
      <c r="G98" t="s">
        <v>88</v>
      </c>
      <c r="H98" t="s">
        <v>130</v>
      </c>
      <c r="I98">
        <v>30000</v>
      </c>
      <c r="J98" t="s">
        <v>109</v>
      </c>
      <c r="K98" s="7">
        <v>4.26</v>
      </c>
      <c r="L98" s="11">
        <v>0.82</v>
      </c>
      <c r="M98" s="7">
        <v>5.2</v>
      </c>
      <c r="N98" t="s">
        <v>50</v>
      </c>
      <c r="O98" t="s">
        <v>51</v>
      </c>
      <c r="P98" t="s">
        <v>66</v>
      </c>
      <c r="Q98" t="s">
        <v>67</v>
      </c>
      <c r="R98" t="s">
        <v>164</v>
      </c>
      <c r="S98" s="12">
        <v>46217.3333333333</v>
      </c>
      <c r="T98" s="12">
        <v>46217.5916666667</v>
      </c>
      <c r="U98" s="12">
        <v>46217.6645833333</v>
      </c>
      <c r="V98" t="s">
        <v>201</v>
      </c>
      <c r="W98" s="7">
        <v>5.2</v>
      </c>
      <c r="X98" s="7">
        <v>0</v>
      </c>
      <c r="Y98" s="8">
        <v>130</v>
      </c>
      <c r="Z98" s="8">
        <v>11</v>
      </c>
      <c r="AA98" s="8">
        <v>0.5</v>
      </c>
      <c r="AB98" s="8">
        <v>5</v>
      </c>
      <c r="AC98" s="8">
        <v>146.5</v>
      </c>
      <c r="AD98" s="8">
        <v>212.42</v>
      </c>
      <c r="AE98" s="8">
        <v>65.92</v>
      </c>
      <c r="AF98" t="s">
        <v>20</v>
      </c>
    </row>
    <row r="99" spans="1:32">
      <c r="A99" t="s">
        <v>381</v>
      </c>
      <c r="B99" s="10">
        <v>46217</v>
      </c>
      <c r="C99">
        <v>29</v>
      </c>
      <c r="D99" t="s">
        <v>297</v>
      </c>
      <c r="E99" t="s">
        <v>382</v>
      </c>
      <c r="F99" t="s">
        <v>128</v>
      </c>
      <c r="G99" t="s">
        <v>77</v>
      </c>
      <c r="H99" t="s">
        <v>127</v>
      </c>
      <c r="I99">
        <v>75000</v>
      </c>
      <c r="J99" t="s">
        <v>118</v>
      </c>
      <c r="K99" s="7">
        <v>1.4</v>
      </c>
      <c r="L99" s="11">
        <v>0.82</v>
      </c>
      <c r="M99" s="7">
        <v>1.71</v>
      </c>
      <c r="N99" t="s">
        <v>59</v>
      </c>
      <c r="O99" t="s">
        <v>60</v>
      </c>
      <c r="P99" t="s">
        <v>63</v>
      </c>
      <c r="Q99" t="s">
        <v>64</v>
      </c>
      <c r="R99" t="s">
        <v>169</v>
      </c>
      <c r="S99" s="12">
        <v>46217.4166666667</v>
      </c>
      <c r="T99" s="12">
        <v>46217.4879166667</v>
      </c>
      <c r="U99" s="12">
        <v>46217.5608333333</v>
      </c>
      <c r="V99" t="s">
        <v>165</v>
      </c>
      <c r="W99" s="7">
        <v>1.71</v>
      </c>
      <c r="X99" s="7">
        <v>0</v>
      </c>
      <c r="Y99" s="8">
        <v>42.75</v>
      </c>
      <c r="Z99" s="8">
        <v>11</v>
      </c>
      <c r="AA99" s="8">
        <v>0.5</v>
      </c>
      <c r="AB99" s="8">
        <v>5</v>
      </c>
      <c r="AC99" s="8">
        <v>59.25</v>
      </c>
      <c r="AD99" s="8">
        <v>85.91</v>
      </c>
      <c r="AE99" s="8">
        <v>26.66</v>
      </c>
      <c r="AF99" t="s">
        <v>20</v>
      </c>
    </row>
    <row r="100" spans="1:32">
      <c r="A100" t="s">
        <v>383</v>
      </c>
      <c r="B100" s="10">
        <v>46230</v>
      </c>
      <c r="C100">
        <v>31</v>
      </c>
      <c r="D100" t="s">
        <v>207</v>
      </c>
      <c r="E100" t="s">
        <v>384</v>
      </c>
      <c r="F100" t="s">
        <v>128</v>
      </c>
      <c r="G100" t="s">
        <v>91</v>
      </c>
      <c r="H100" t="s">
        <v>130</v>
      </c>
      <c r="I100">
        <v>20000</v>
      </c>
      <c r="J100" t="s">
        <v>107</v>
      </c>
      <c r="K100" s="7">
        <v>3.89</v>
      </c>
      <c r="L100" s="11">
        <v>0.82</v>
      </c>
      <c r="M100" s="7">
        <v>4.74</v>
      </c>
      <c r="N100" t="s">
        <v>53</v>
      </c>
      <c r="O100" t="s">
        <v>54</v>
      </c>
      <c r="P100" t="s">
        <v>66</v>
      </c>
      <c r="Q100" t="s">
        <v>67</v>
      </c>
      <c r="R100" t="s">
        <v>174</v>
      </c>
      <c r="S100" s="12">
        <v>46230.5833333333</v>
      </c>
      <c r="T100" s="12">
        <v>46230.7808333333</v>
      </c>
      <c r="U100" s="12">
        <v>46230.85375</v>
      </c>
      <c r="V100" t="s">
        <v>170</v>
      </c>
      <c r="W100" s="7">
        <v>3.5</v>
      </c>
      <c r="X100" s="7">
        <v>1.24</v>
      </c>
      <c r="Y100" s="8">
        <v>118.5</v>
      </c>
      <c r="Z100" s="8">
        <v>11</v>
      </c>
      <c r="AA100" s="8">
        <v>0.5</v>
      </c>
      <c r="AB100" s="8">
        <v>5</v>
      </c>
      <c r="AC100" s="8">
        <v>135</v>
      </c>
      <c r="AD100" s="8">
        <v>195.75</v>
      </c>
      <c r="AE100" s="8">
        <v>60.75</v>
      </c>
      <c r="AF100" t="s">
        <v>20</v>
      </c>
    </row>
    <row r="101" spans="1:32">
      <c r="A101" t="s">
        <v>385</v>
      </c>
      <c r="B101" s="10">
        <v>46226</v>
      </c>
      <c r="C101">
        <v>30</v>
      </c>
      <c r="D101" t="s">
        <v>167</v>
      </c>
      <c r="E101" t="s">
        <v>386</v>
      </c>
      <c r="F101" t="s">
        <v>128</v>
      </c>
      <c r="G101" t="s">
        <v>83</v>
      </c>
      <c r="H101" t="s">
        <v>130</v>
      </c>
      <c r="I101">
        <v>50000</v>
      </c>
      <c r="J101" t="s">
        <v>113</v>
      </c>
      <c r="K101" s="7">
        <v>3.79</v>
      </c>
      <c r="L101" s="11">
        <v>0.82</v>
      </c>
      <c r="M101" s="7">
        <v>4.62</v>
      </c>
      <c r="N101" t="s">
        <v>55</v>
      </c>
      <c r="O101" t="s">
        <v>56</v>
      </c>
      <c r="P101" t="s">
        <v>63</v>
      </c>
      <c r="Q101" t="s">
        <v>64</v>
      </c>
      <c r="R101" t="s">
        <v>178</v>
      </c>
      <c r="S101" s="12">
        <v>46226.6458333333</v>
      </c>
      <c r="T101" s="12">
        <v>46226.8383333333</v>
      </c>
      <c r="U101" s="12">
        <v>46226.91125</v>
      </c>
      <c r="V101" t="s">
        <v>170</v>
      </c>
      <c r="W101" s="7">
        <v>2</v>
      </c>
      <c r="X101" s="7">
        <v>2.62</v>
      </c>
      <c r="Y101" s="8">
        <v>115.5</v>
      </c>
      <c r="Z101" s="8">
        <v>11</v>
      </c>
      <c r="AA101" s="8">
        <v>0.5</v>
      </c>
      <c r="AB101" s="8">
        <v>5</v>
      </c>
      <c r="AC101" s="8">
        <v>132</v>
      </c>
      <c r="AD101" s="8">
        <v>191.4</v>
      </c>
      <c r="AE101" s="8">
        <v>59.4</v>
      </c>
      <c r="AF101" t="s">
        <v>20</v>
      </c>
    </row>
    <row r="102" spans="1:32">
      <c r="A102" t="s">
        <v>387</v>
      </c>
      <c r="B102" s="10">
        <v>46226</v>
      </c>
      <c r="C102">
        <v>30</v>
      </c>
      <c r="D102" t="s">
        <v>167</v>
      </c>
      <c r="E102" t="s">
        <v>388</v>
      </c>
      <c r="F102" t="s">
        <v>128</v>
      </c>
      <c r="G102" t="s">
        <v>100</v>
      </c>
      <c r="H102" t="s">
        <v>130</v>
      </c>
      <c r="I102">
        <v>1000000</v>
      </c>
      <c r="J102" t="s">
        <v>123</v>
      </c>
      <c r="K102" s="7">
        <v>4.01</v>
      </c>
      <c r="L102" s="11">
        <v>0.82</v>
      </c>
      <c r="M102" s="7">
        <v>4.89</v>
      </c>
      <c r="N102" t="s">
        <v>50</v>
      </c>
      <c r="O102" t="s">
        <v>51</v>
      </c>
      <c r="P102" t="s">
        <v>66</v>
      </c>
      <c r="Q102" t="s">
        <v>67</v>
      </c>
      <c r="R102" t="s">
        <v>181</v>
      </c>
      <c r="S102" s="12">
        <v>46226.3333333333</v>
      </c>
      <c r="T102" s="12">
        <v>46226.5370833333</v>
      </c>
      <c r="U102" s="12">
        <v>46226.61</v>
      </c>
      <c r="V102" t="s">
        <v>170</v>
      </c>
      <c r="W102" s="7">
        <v>4.89</v>
      </c>
      <c r="X102" s="7">
        <v>0</v>
      </c>
      <c r="Y102" s="8">
        <v>122.25</v>
      </c>
      <c r="Z102" s="8">
        <v>11</v>
      </c>
      <c r="AA102" s="8">
        <v>0.5</v>
      </c>
      <c r="AB102" s="8">
        <v>5</v>
      </c>
      <c r="AC102" s="8">
        <v>138.75</v>
      </c>
      <c r="AD102" s="8">
        <v>201.19</v>
      </c>
      <c r="AE102" s="8">
        <v>62.44</v>
      </c>
      <c r="AF102" t="s">
        <v>20</v>
      </c>
    </row>
    <row r="103" spans="1:32">
      <c r="A103" t="s">
        <v>389</v>
      </c>
      <c r="B103" s="10">
        <v>46227</v>
      </c>
      <c r="C103">
        <v>30</v>
      </c>
      <c r="D103" t="s">
        <v>172</v>
      </c>
      <c r="E103" t="s">
        <v>390</v>
      </c>
      <c r="F103" t="s">
        <v>128</v>
      </c>
      <c r="G103" t="s">
        <v>79</v>
      </c>
      <c r="H103" t="s">
        <v>127</v>
      </c>
      <c r="I103">
        <v>1500</v>
      </c>
      <c r="J103" t="s">
        <v>103</v>
      </c>
      <c r="K103" s="7">
        <v>0.65</v>
      </c>
      <c r="L103" s="11">
        <v>0.82</v>
      </c>
      <c r="M103" s="7">
        <v>0.79</v>
      </c>
      <c r="N103" t="s">
        <v>50</v>
      </c>
      <c r="O103" t="s">
        <v>51</v>
      </c>
      <c r="P103" t="s">
        <v>63</v>
      </c>
      <c r="Q103" t="s">
        <v>64</v>
      </c>
      <c r="R103" t="s">
        <v>184</v>
      </c>
      <c r="S103" s="12">
        <v>46227.4166666667</v>
      </c>
      <c r="T103" s="12">
        <v>46227.4495833333</v>
      </c>
      <c r="U103" s="12">
        <v>46227.5225</v>
      </c>
      <c r="V103" t="s">
        <v>201</v>
      </c>
      <c r="W103" s="7">
        <v>0.79</v>
      </c>
      <c r="X103" s="7">
        <v>0</v>
      </c>
      <c r="Y103" s="8">
        <v>19.75</v>
      </c>
      <c r="Z103" s="8">
        <v>11</v>
      </c>
      <c r="AA103" s="8">
        <v>0.5</v>
      </c>
      <c r="AB103" s="8">
        <v>5</v>
      </c>
      <c r="AC103" s="8">
        <v>36.25</v>
      </c>
      <c r="AD103" s="8">
        <v>52.56</v>
      </c>
      <c r="AE103" s="8">
        <v>16.31</v>
      </c>
      <c r="AF103" t="s">
        <v>20</v>
      </c>
    </row>
    <row r="104" spans="1:32">
      <c r="A104" t="s">
        <v>391</v>
      </c>
      <c r="B104" s="10">
        <v>46227</v>
      </c>
      <c r="C104">
        <v>30</v>
      </c>
      <c r="D104" t="s">
        <v>172</v>
      </c>
      <c r="E104" t="s">
        <v>392</v>
      </c>
      <c r="F104" t="s">
        <v>128</v>
      </c>
      <c r="G104" t="s">
        <v>75</v>
      </c>
      <c r="H104" t="s">
        <v>127</v>
      </c>
      <c r="I104">
        <v>75000</v>
      </c>
      <c r="J104" t="s">
        <v>118</v>
      </c>
      <c r="K104" s="7">
        <v>0.9</v>
      </c>
      <c r="L104" s="11">
        <v>0.82</v>
      </c>
      <c r="M104" s="7">
        <v>1.1</v>
      </c>
      <c r="N104" t="s">
        <v>50</v>
      </c>
      <c r="O104" t="s">
        <v>51</v>
      </c>
      <c r="P104" t="s">
        <v>66</v>
      </c>
      <c r="Q104" t="s">
        <v>67</v>
      </c>
      <c r="R104" t="s">
        <v>164</v>
      </c>
      <c r="S104" s="12">
        <v>46227.5833333333</v>
      </c>
      <c r="T104" s="12">
        <v>46227.6291666667</v>
      </c>
      <c r="U104" s="12">
        <v>46227.7020833333</v>
      </c>
      <c r="V104" t="s">
        <v>165</v>
      </c>
      <c r="W104" s="7">
        <v>1.1</v>
      </c>
      <c r="X104" s="7">
        <v>0</v>
      </c>
      <c r="Y104" s="8">
        <v>27.5</v>
      </c>
      <c r="Z104" s="8">
        <v>11</v>
      </c>
      <c r="AA104" s="8">
        <v>0.5</v>
      </c>
      <c r="AB104" s="8">
        <v>5</v>
      </c>
      <c r="AC104" s="8">
        <v>44</v>
      </c>
      <c r="AD104" s="8">
        <v>63.8</v>
      </c>
      <c r="AE104" s="8">
        <v>19.8</v>
      </c>
      <c r="AF104" t="s">
        <v>20</v>
      </c>
    </row>
    <row r="105" spans="1:32">
      <c r="A105" t="s">
        <v>393</v>
      </c>
      <c r="B105" s="10">
        <v>46218</v>
      </c>
      <c r="C105">
        <v>29</v>
      </c>
      <c r="D105" t="s">
        <v>188</v>
      </c>
      <c r="E105" t="s">
        <v>394</v>
      </c>
      <c r="F105" t="s">
        <v>128</v>
      </c>
      <c r="G105" t="s">
        <v>96</v>
      </c>
      <c r="H105" t="s">
        <v>130</v>
      </c>
      <c r="I105">
        <v>1000000</v>
      </c>
      <c r="J105" t="s">
        <v>123</v>
      </c>
      <c r="K105" s="7">
        <v>4.61</v>
      </c>
      <c r="L105" s="11">
        <v>0.82</v>
      </c>
      <c r="M105" s="7">
        <v>5.62</v>
      </c>
      <c r="N105" t="s">
        <v>53</v>
      </c>
      <c r="O105" t="s">
        <v>54</v>
      </c>
      <c r="P105" t="s">
        <v>63</v>
      </c>
      <c r="Q105" t="s">
        <v>64</v>
      </c>
      <c r="R105" t="s">
        <v>169</v>
      </c>
      <c r="S105" s="12">
        <v>46218.6458333333</v>
      </c>
      <c r="T105" s="12">
        <v>46218.88</v>
      </c>
      <c r="U105" s="12">
        <v>46218.9529166667</v>
      </c>
      <c r="V105" t="s">
        <v>170</v>
      </c>
      <c r="W105" s="7">
        <v>2.62</v>
      </c>
      <c r="X105" s="7">
        <v>3</v>
      </c>
      <c r="Y105" s="8">
        <v>140.5</v>
      </c>
      <c r="Z105" s="8">
        <v>11</v>
      </c>
      <c r="AA105" s="8">
        <v>0.5</v>
      </c>
      <c r="AB105" s="8">
        <v>5</v>
      </c>
      <c r="AC105" s="8">
        <v>157</v>
      </c>
      <c r="AD105" s="8">
        <v>227.65</v>
      </c>
      <c r="AE105" s="8">
        <v>70.65</v>
      </c>
      <c r="AF105" t="s">
        <v>20</v>
      </c>
    </row>
    <row r="106" spans="1:32">
      <c r="A106" t="s">
        <v>395</v>
      </c>
      <c r="B106" s="10">
        <v>46223</v>
      </c>
      <c r="C106">
        <v>30</v>
      </c>
      <c r="D106" t="s">
        <v>172</v>
      </c>
      <c r="E106" t="s">
        <v>396</v>
      </c>
      <c r="F106" t="s">
        <v>128</v>
      </c>
      <c r="G106" t="s">
        <v>91</v>
      </c>
      <c r="H106" t="s">
        <v>130</v>
      </c>
      <c r="I106">
        <v>10000</v>
      </c>
      <c r="J106" t="s">
        <v>105</v>
      </c>
      <c r="K106" s="7">
        <v>3.09</v>
      </c>
      <c r="L106" s="11">
        <v>0.82</v>
      </c>
      <c r="M106" s="7">
        <v>3.77</v>
      </c>
      <c r="N106" t="s">
        <v>59</v>
      </c>
      <c r="O106" t="s">
        <v>60</v>
      </c>
      <c r="P106" t="s">
        <v>63</v>
      </c>
      <c r="Q106" t="s">
        <v>64</v>
      </c>
      <c r="R106" t="s">
        <v>174</v>
      </c>
      <c r="S106" s="12">
        <v>46223.3333333333</v>
      </c>
      <c r="T106" s="12">
        <v>46223.4904166667</v>
      </c>
      <c r="U106" s="12">
        <v>46223.5633333333</v>
      </c>
      <c r="V106" t="s">
        <v>6</v>
      </c>
      <c r="W106" s="7">
        <v>3.77</v>
      </c>
      <c r="X106" s="7">
        <v>0</v>
      </c>
      <c r="Y106" s="8">
        <v>94.25</v>
      </c>
      <c r="Z106" s="8">
        <v>11</v>
      </c>
      <c r="AA106" s="8">
        <v>0.5</v>
      </c>
      <c r="AB106" s="8">
        <v>5</v>
      </c>
      <c r="AC106" s="8">
        <v>110.75</v>
      </c>
      <c r="AD106" s="8">
        <v>160.59</v>
      </c>
      <c r="AE106" s="8">
        <v>49.84</v>
      </c>
      <c r="AF106" t="s">
        <v>20</v>
      </c>
    </row>
    <row r="107" spans="1:32">
      <c r="A107" t="s">
        <v>397</v>
      </c>
      <c r="B107" s="10">
        <v>46225</v>
      </c>
      <c r="C107">
        <v>30</v>
      </c>
      <c r="D107" t="s">
        <v>224</v>
      </c>
      <c r="E107" t="s">
        <v>398</v>
      </c>
      <c r="F107" t="s">
        <v>128</v>
      </c>
      <c r="G107" t="s">
        <v>96</v>
      </c>
      <c r="H107" t="s">
        <v>130</v>
      </c>
      <c r="I107">
        <v>30000</v>
      </c>
      <c r="J107" t="s">
        <v>109</v>
      </c>
      <c r="K107" s="7">
        <v>3.61</v>
      </c>
      <c r="L107" s="11">
        <v>0.82</v>
      </c>
      <c r="M107" s="7">
        <v>4.4</v>
      </c>
      <c r="N107" t="s">
        <v>59</v>
      </c>
      <c r="O107" t="s">
        <v>60</v>
      </c>
      <c r="P107" t="s">
        <v>63</v>
      </c>
      <c r="Q107" t="s">
        <v>64</v>
      </c>
      <c r="R107" t="s">
        <v>178</v>
      </c>
      <c r="S107" s="12">
        <v>46225.4166666667</v>
      </c>
      <c r="T107" s="12">
        <v>46225.6416666667</v>
      </c>
      <c r="U107" s="12">
        <v>46225.7145833333</v>
      </c>
      <c r="V107" t="s">
        <v>170</v>
      </c>
      <c r="W107" s="7">
        <v>4.4</v>
      </c>
      <c r="X107" s="7">
        <v>0</v>
      </c>
      <c r="Y107" s="8">
        <v>110</v>
      </c>
      <c r="Z107" s="8">
        <v>11</v>
      </c>
      <c r="AA107" s="8">
        <v>0.5</v>
      </c>
      <c r="AB107" s="8">
        <v>5</v>
      </c>
      <c r="AC107" s="8">
        <v>126.5</v>
      </c>
      <c r="AD107" s="8">
        <v>183.42</v>
      </c>
      <c r="AE107" s="8">
        <v>56.92</v>
      </c>
      <c r="AF107" t="s">
        <v>20</v>
      </c>
    </row>
    <row r="108" spans="1:32">
      <c r="A108" t="s">
        <v>399</v>
      </c>
      <c r="B108" s="10">
        <v>46227</v>
      </c>
      <c r="C108">
        <v>30</v>
      </c>
      <c r="D108" t="s">
        <v>221</v>
      </c>
      <c r="E108" t="s">
        <v>400</v>
      </c>
      <c r="F108" t="s">
        <v>128</v>
      </c>
      <c r="G108" t="s">
        <v>80</v>
      </c>
      <c r="H108" t="s">
        <v>127</v>
      </c>
      <c r="I108">
        <v>15000</v>
      </c>
      <c r="J108" t="s">
        <v>106</v>
      </c>
      <c r="K108" s="7">
        <v>0.8</v>
      </c>
      <c r="L108" s="11">
        <v>0.82</v>
      </c>
      <c r="M108" s="7">
        <v>0.98</v>
      </c>
      <c r="N108" t="s">
        <v>50</v>
      </c>
      <c r="O108" t="s">
        <v>51</v>
      </c>
      <c r="P108" t="s">
        <v>63</v>
      </c>
      <c r="Q108" t="s">
        <v>64</v>
      </c>
      <c r="R108" t="s">
        <v>181</v>
      </c>
      <c r="S108" s="12">
        <v>46227.5833333333</v>
      </c>
      <c r="T108" s="12">
        <v>46227.6241666667</v>
      </c>
      <c r="U108" s="12">
        <v>46227.6970833333</v>
      </c>
      <c r="V108" t="s">
        <v>170</v>
      </c>
      <c r="W108" s="7">
        <v>0.98</v>
      </c>
      <c r="X108" s="7">
        <v>0</v>
      </c>
      <c r="Y108" s="8">
        <v>24.5</v>
      </c>
      <c r="Z108" s="8">
        <v>11</v>
      </c>
      <c r="AA108" s="8">
        <v>0.5</v>
      </c>
      <c r="AB108" s="8">
        <v>5</v>
      </c>
      <c r="AC108" s="8">
        <v>41</v>
      </c>
      <c r="AD108" s="8">
        <v>59.45</v>
      </c>
      <c r="AE108" s="8">
        <v>18.45</v>
      </c>
      <c r="AF108" t="s">
        <v>20</v>
      </c>
    </row>
    <row r="109" spans="1:32">
      <c r="A109" t="s">
        <v>401</v>
      </c>
      <c r="B109" s="10">
        <v>46216</v>
      </c>
      <c r="C109">
        <v>29</v>
      </c>
      <c r="D109" t="s">
        <v>221</v>
      </c>
      <c r="E109" t="s">
        <v>402</v>
      </c>
      <c r="F109" t="s">
        <v>128</v>
      </c>
      <c r="G109" t="s">
        <v>91</v>
      </c>
      <c r="H109" t="s">
        <v>130</v>
      </c>
      <c r="I109">
        <v>20000</v>
      </c>
      <c r="J109" t="s">
        <v>107</v>
      </c>
      <c r="K109" s="7">
        <v>3.89</v>
      </c>
      <c r="L109" s="11">
        <v>0.82</v>
      </c>
      <c r="M109" s="7">
        <v>4.74</v>
      </c>
      <c r="N109" t="s">
        <v>61</v>
      </c>
      <c r="O109" t="s">
        <v>62</v>
      </c>
      <c r="P109" t="s">
        <v>66</v>
      </c>
      <c r="Q109" t="s">
        <v>67</v>
      </c>
      <c r="R109" t="s">
        <v>184</v>
      </c>
      <c r="S109" s="12">
        <v>46216.6458333333</v>
      </c>
      <c r="T109" s="12">
        <v>46216.8433333333</v>
      </c>
      <c r="U109" s="12">
        <v>46216.91625</v>
      </c>
      <c r="V109" t="s">
        <v>165</v>
      </c>
      <c r="W109" s="7">
        <v>2</v>
      </c>
      <c r="X109" s="7">
        <v>2.74</v>
      </c>
      <c r="Y109" s="8">
        <v>118.5</v>
      </c>
      <c r="Z109" s="8">
        <v>11</v>
      </c>
      <c r="AA109" s="8">
        <v>0.5</v>
      </c>
      <c r="AB109" s="8">
        <v>5</v>
      </c>
      <c r="AC109" s="8">
        <v>135</v>
      </c>
      <c r="AD109" s="8">
        <v>195.75</v>
      </c>
      <c r="AE109" s="8">
        <v>60.75</v>
      </c>
      <c r="AF109" t="s">
        <v>20</v>
      </c>
    </row>
    <row r="110" spans="1:32">
      <c r="A110" t="s">
        <v>403</v>
      </c>
      <c r="B110" s="10">
        <v>46216</v>
      </c>
      <c r="C110">
        <v>29</v>
      </c>
      <c r="D110" t="s">
        <v>212</v>
      </c>
      <c r="E110" t="s">
        <v>404</v>
      </c>
      <c r="F110" t="s">
        <v>128</v>
      </c>
      <c r="G110" t="s">
        <v>90</v>
      </c>
      <c r="H110" t="s">
        <v>130</v>
      </c>
      <c r="I110">
        <v>75000</v>
      </c>
      <c r="J110" t="s">
        <v>118</v>
      </c>
      <c r="K110" s="7">
        <v>1.4</v>
      </c>
      <c r="L110" s="11">
        <v>0.82</v>
      </c>
      <c r="M110" s="7">
        <v>1.71</v>
      </c>
      <c r="N110" t="s">
        <v>50</v>
      </c>
      <c r="O110" t="s">
        <v>51</v>
      </c>
      <c r="P110" t="s">
        <v>63</v>
      </c>
      <c r="Q110" t="s">
        <v>64</v>
      </c>
      <c r="R110" t="s">
        <v>164</v>
      </c>
      <c r="S110" s="12">
        <v>46216.3333333333</v>
      </c>
      <c r="T110" s="12">
        <v>46216.4045833333</v>
      </c>
      <c r="U110" s="12">
        <v>46216.4775</v>
      </c>
      <c r="V110" t="s">
        <v>6</v>
      </c>
      <c r="W110" s="7">
        <v>1.71</v>
      </c>
      <c r="X110" s="7">
        <v>0</v>
      </c>
      <c r="Y110" s="8">
        <v>42.75</v>
      </c>
      <c r="Z110" s="8">
        <v>11</v>
      </c>
      <c r="AA110" s="8">
        <v>0.5</v>
      </c>
      <c r="AB110" s="8">
        <v>5</v>
      </c>
      <c r="AC110" s="8">
        <v>59.25</v>
      </c>
      <c r="AD110" s="8">
        <v>85.91</v>
      </c>
      <c r="AE110" s="8">
        <v>26.66</v>
      </c>
      <c r="AF110" t="s">
        <v>20</v>
      </c>
    </row>
    <row r="111" spans="1:32">
      <c r="A111" t="s">
        <v>405</v>
      </c>
      <c r="B111" s="10">
        <v>46217</v>
      </c>
      <c r="C111">
        <v>29</v>
      </c>
      <c r="D111" t="s">
        <v>191</v>
      </c>
      <c r="E111" t="s">
        <v>406</v>
      </c>
      <c r="F111" t="s">
        <v>128</v>
      </c>
      <c r="G111" t="s">
        <v>95</v>
      </c>
      <c r="H111" t="s">
        <v>130</v>
      </c>
      <c r="I111">
        <v>85000</v>
      </c>
      <c r="J111" t="s">
        <v>120</v>
      </c>
      <c r="K111" s="7">
        <v>0.6</v>
      </c>
      <c r="L111" s="11">
        <v>0.82</v>
      </c>
      <c r="M111" s="7">
        <v>0.73</v>
      </c>
      <c r="N111" t="s">
        <v>57</v>
      </c>
      <c r="O111" t="s">
        <v>58</v>
      </c>
      <c r="P111" t="s">
        <v>66</v>
      </c>
      <c r="Q111" t="s">
        <v>67</v>
      </c>
      <c r="R111" t="s">
        <v>169</v>
      </c>
      <c r="S111" s="12">
        <v>46217.4166666667</v>
      </c>
      <c r="T111" s="12">
        <v>46217.4470833333</v>
      </c>
      <c r="U111" s="12">
        <v>46217.52</v>
      </c>
      <c r="V111" t="s">
        <v>165</v>
      </c>
      <c r="W111" s="7">
        <v>0.73</v>
      </c>
      <c r="X111" s="7">
        <v>0</v>
      </c>
      <c r="Y111" s="8">
        <v>18.25</v>
      </c>
      <c r="Z111" s="8">
        <v>11</v>
      </c>
      <c r="AA111" s="8">
        <v>0.5</v>
      </c>
      <c r="AB111" s="8">
        <v>5</v>
      </c>
      <c r="AC111" s="8">
        <v>34.75</v>
      </c>
      <c r="AD111" s="8">
        <v>50.39</v>
      </c>
      <c r="AE111" s="8">
        <v>15.64</v>
      </c>
      <c r="AF111" t="s">
        <v>20</v>
      </c>
    </row>
    <row r="112" spans="1:32">
      <c r="A112" t="s">
        <v>407</v>
      </c>
      <c r="B112" s="10">
        <v>46217</v>
      </c>
      <c r="C112">
        <v>29</v>
      </c>
      <c r="D112" t="s">
        <v>172</v>
      </c>
      <c r="E112" t="s">
        <v>408</v>
      </c>
      <c r="F112" t="s">
        <v>128</v>
      </c>
      <c r="G112" t="s">
        <v>91</v>
      </c>
      <c r="H112" t="s">
        <v>130</v>
      </c>
      <c r="I112">
        <v>40000</v>
      </c>
      <c r="J112" t="s">
        <v>111</v>
      </c>
      <c r="K112" s="7">
        <v>3.89</v>
      </c>
      <c r="L112" s="11">
        <v>0.82</v>
      </c>
      <c r="M112" s="7">
        <v>4.74</v>
      </c>
      <c r="N112" t="s">
        <v>61</v>
      </c>
      <c r="O112" t="s">
        <v>62</v>
      </c>
      <c r="P112" t="s">
        <v>63</v>
      </c>
      <c r="Q112" t="s">
        <v>64</v>
      </c>
      <c r="R112" t="s">
        <v>174</v>
      </c>
      <c r="S112" s="12">
        <v>46217.5833333333</v>
      </c>
      <c r="T112" s="12">
        <v>46217.7808333333</v>
      </c>
      <c r="U112" s="12">
        <v>46217.85375</v>
      </c>
      <c r="V112" t="s">
        <v>170</v>
      </c>
      <c r="W112" s="7">
        <v>3.5</v>
      </c>
      <c r="X112" s="7">
        <v>1.24</v>
      </c>
      <c r="Y112" s="8">
        <v>118.5</v>
      </c>
      <c r="Z112" s="8">
        <v>11</v>
      </c>
      <c r="AA112" s="8">
        <v>0.5</v>
      </c>
      <c r="AB112" s="8">
        <v>5</v>
      </c>
      <c r="AC112" s="8">
        <v>135</v>
      </c>
      <c r="AD112" s="8">
        <v>195.75</v>
      </c>
      <c r="AE112" s="8">
        <v>60.75</v>
      </c>
      <c r="AF112" t="s">
        <v>20</v>
      </c>
    </row>
    <row r="113" spans="1:32">
      <c r="A113" t="s">
        <v>409</v>
      </c>
      <c r="B113" s="10">
        <v>46230</v>
      </c>
      <c r="C113">
        <v>31</v>
      </c>
      <c r="D113" t="s">
        <v>207</v>
      </c>
      <c r="E113" t="s">
        <v>410</v>
      </c>
      <c r="F113" t="s">
        <v>128</v>
      </c>
      <c r="G113" t="s">
        <v>93</v>
      </c>
      <c r="H113" t="s">
        <v>130</v>
      </c>
      <c r="I113">
        <v>1500</v>
      </c>
      <c r="J113" t="s">
        <v>103</v>
      </c>
      <c r="K113" s="7">
        <v>0.45</v>
      </c>
      <c r="L113" s="11">
        <v>0.82</v>
      </c>
      <c r="M113" s="7">
        <v>0.55</v>
      </c>
      <c r="N113" t="s">
        <v>59</v>
      </c>
      <c r="O113" t="s">
        <v>60</v>
      </c>
      <c r="P113" t="s">
        <v>63</v>
      </c>
      <c r="Q113" t="s">
        <v>64</v>
      </c>
      <c r="R113" t="s">
        <v>178</v>
      </c>
      <c r="S113" s="12">
        <v>46230.6458333333</v>
      </c>
      <c r="T113" s="12">
        <v>46230.66875</v>
      </c>
      <c r="U113" s="12">
        <v>46230.7416666667</v>
      </c>
      <c r="V113" t="s">
        <v>6</v>
      </c>
      <c r="W113" s="7">
        <v>0.55</v>
      </c>
      <c r="X113" s="7">
        <v>0</v>
      </c>
      <c r="Y113" s="8">
        <v>13.75</v>
      </c>
      <c r="Z113" s="8">
        <v>11</v>
      </c>
      <c r="AA113" s="8">
        <v>0.5</v>
      </c>
      <c r="AB113" s="8">
        <v>5</v>
      </c>
      <c r="AC113" s="8">
        <v>30.25</v>
      </c>
      <c r="AD113" s="8">
        <v>43.86</v>
      </c>
      <c r="AE113" s="8">
        <v>13.61</v>
      </c>
      <c r="AF113" t="s">
        <v>20</v>
      </c>
    </row>
    <row r="114" spans="1:32">
      <c r="A114" t="s">
        <v>411</v>
      </c>
      <c r="B114" s="10">
        <v>46224</v>
      </c>
      <c r="C114">
        <v>30</v>
      </c>
      <c r="D114" t="s">
        <v>252</v>
      </c>
      <c r="E114" t="s">
        <v>412</v>
      </c>
      <c r="F114" t="s">
        <v>128</v>
      </c>
      <c r="G114" t="s">
        <v>96</v>
      </c>
      <c r="H114" t="s">
        <v>130</v>
      </c>
      <c r="I114">
        <v>1000000</v>
      </c>
      <c r="J114" t="s">
        <v>123</v>
      </c>
      <c r="K114" s="7">
        <v>4.61</v>
      </c>
      <c r="L114" s="11">
        <v>0.82</v>
      </c>
      <c r="M114" s="7">
        <v>5.62</v>
      </c>
      <c r="N114" t="s">
        <v>59</v>
      </c>
      <c r="O114" t="s">
        <v>60</v>
      </c>
      <c r="P114" t="s">
        <v>66</v>
      </c>
      <c r="Q114" t="s">
        <v>67</v>
      </c>
      <c r="R114" t="s">
        <v>181</v>
      </c>
      <c r="S114" s="12">
        <v>46224.3333333333</v>
      </c>
      <c r="T114" s="12">
        <v>46224.6091666667</v>
      </c>
      <c r="U114" s="12">
        <v>46224.6820833333</v>
      </c>
      <c r="V114" t="s">
        <v>170</v>
      </c>
      <c r="W114" s="7">
        <v>5.62</v>
      </c>
      <c r="X114" s="7">
        <v>0</v>
      </c>
      <c r="Y114" s="8">
        <v>140.5</v>
      </c>
      <c r="Z114" s="8">
        <v>11</v>
      </c>
      <c r="AA114" s="8">
        <v>0.5</v>
      </c>
      <c r="AB114" s="8">
        <v>5</v>
      </c>
      <c r="AC114" s="8">
        <v>157</v>
      </c>
      <c r="AD114" s="8">
        <v>227.65</v>
      </c>
      <c r="AE114" s="8">
        <v>70.65</v>
      </c>
      <c r="AF114" t="s">
        <v>20</v>
      </c>
    </row>
    <row r="115" spans="1:32">
      <c r="A115" t="s">
        <v>413</v>
      </c>
      <c r="B115" s="10">
        <v>46223</v>
      </c>
      <c r="C115">
        <v>30</v>
      </c>
      <c r="D115" t="s">
        <v>252</v>
      </c>
      <c r="E115" t="s">
        <v>414</v>
      </c>
      <c r="F115" t="s">
        <v>128</v>
      </c>
      <c r="G115" t="s">
        <v>93</v>
      </c>
      <c r="H115" t="s">
        <v>130</v>
      </c>
      <c r="I115">
        <v>20000</v>
      </c>
      <c r="J115" t="s">
        <v>107</v>
      </c>
      <c r="K115" s="7">
        <v>3.76</v>
      </c>
      <c r="L115" s="11">
        <v>0.82</v>
      </c>
      <c r="M115" s="7">
        <v>4.59</v>
      </c>
      <c r="N115" t="s">
        <v>53</v>
      </c>
      <c r="O115" t="s">
        <v>54</v>
      </c>
      <c r="P115" t="s">
        <v>66</v>
      </c>
      <c r="Q115" t="s">
        <v>67</v>
      </c>
      <c r="R115" t="s">
        <v>184</v>
      </c>
      <c r="S115" s="12">
        <v>46223.4166666667</v>
      </c>
      <c r="T115" s="12">
        <v>46223.6495833333</v>
      </c>
      <c r="U115" s="12">
        <v>46223.7225</v>
      </c>
      <c r="V115" t="s">
        <v>201</v>
      </c>
      <c r="W115" s="7">
        <v>4.59</v>
      </c>
      <c r="X115" s="7">
        <v>0</v>
      </c>
      <c r="Y115" s="8">
        <v>114.75</v>
      </c>
      <c r="Z115" s="8">
        <v>11</v>
      </c>
      <c r="AA115" s="8">
        <v>0.5</v>
      </c>
      <c r="AB115" s="8">
        <v>5</v>
      </c>
      <c r="AC115" s="8">
        <v>131.25</v>
      </c>
      <c r="AD115" s="8">
        <v>190.31</v>
      </c>
      <c r="AE115" s="8">
        <v>59.06</v>
      </c>
      <c r="AF115" t="s">
        <v>20</v>
      </c>
    </row>
    <row r="116" spans="1:32">
      <c r="A116" t="s">
        <v>415</v>
      </c>
      <c r="B116" s="10">
        <v>46216</v>
      </c>
      <c r="C116">
        <v>29</v>
      </c>
      <c r="D116" t="s">
        <v>212</v>
      </c>
      <c r="E116" t="s">
        <v>416</v>
      </c>
      <c r="F116" t="s">
        <v>128</v>
      </c>
      <c r="G116" t="s">
        <v>84</v>
      </c>
      <c r="H116" t="s">
        <v>130</v>
      </c>
      <c r="I116">
        <v>25000</v>
      </c>
      <c r="J116" t="s">
        <v>108</v>
      </c>
      <c r="K116" s="7">
        <v>1.2</v>
      </c>
      <c r="L116" s="11">
        <v>0.82</v>
      </c>
      <c r="M116" s="7">
        <v>1.46</v>
      </c>
      <c r="N116" t="s">
        <v>57</v>
      </c>
      <c r="O116" t="s">
        <v>58</v>
      </c>
      <c r="P116" t="s">
        <v>66</v>
      </c>
      <c r="Q116" t="s">
        <v>67</v>
      </c>
      <c r="R116" t="s">
        <v>164</v>
      </c>
      <c r="S116" s="12">
        <v>46216.5833333333</v>
      </c>
      <c r="T116" s="12">
        <v>46216.6441666667</v>
      </c>
      <c r="U116" s="12">
        <v>46216.7170833333</v>
      </c>
      <c r="V116" t="s">
        <v>165</v>
      </c>
      <c r="W116" s="7">
        <v>1.46</v>
      </c>
      <c r="X116" s="7">
        <v>0</v>
      </c>
      <c r="Y116" s="8">
        <v>36.5</v>
      </c>
      <c r="Z116" s="8">
        <v>11</v>
      </c>
      <c r="AA116" s="8">
        <v>0.5</v>
      </c>
      <c r="AB116" s="8">
        <v>5</v>
      </c>
      <c r="AC116" s="8">
        <v>53</v>
      </c>
      <c r="AD116" s="8">
        <v>76.85</v>
      </c>
      <c r="AE116" s="8">
        <v>23.85</v>
      </c>
      <c r="AF116" t="s">
        <v>20</v>
      </c>
    </row>
    <row r="117" spans="1:32">
      <c r="A117" t="s">
        <v>417</v>
      </c>
      <c r="B117" s="10">
        <v>46218</v>
      </c>
      <c r="C117">
        <v>29</v>
      </c>
      <c r="D117" t="s">
        <v>221</v>
      </c>
      <c r="E117" t="s">
        <v>418</v>
      </c>
      <c r="F117" t="s">
        <v>128</v>
      </c>
      <c r="G117" t="s">
        <v>90</v>
      </c>
      <c r="H117" t="s">
        <v>130</v>
      </c>
      <c r="I117">
        <v>40000</v>
      </c>
      <c r="J117" t="s">
        <v>111</v>
      </c>
      <c r="K117" s="7">
        <v>3.89</v>
      </c>
      <c r="L117" s="11">
        <v>0.82</v>
      </c>
      <c r="M117" s="7">
        <v>4.74</v>
      </c>
      <c r="N117" t="s">
        <v>57</v>
      </c>
      <c r="O117" t="s">
        <v>58</v>
      </c>
      <c r="P117" t="s">
        <v>66</v>
      </c>
      <c r="Q117" t="s">
        <v>67</v>
      </c>
      <c r="R117" t="s">
        <v>169</v>
      </c>
      <c r="S117" s="12">
        <v>46218.6458333333</v>
      </c>
      <c r="T117" s="12">
        <v>46218.8433333333</v>
      </c>
      <c r="U117" s="12">
        <v>46218.91625</v>
      </c>
      <c r="V117" t="s">
        <v>6</v>
      </c>
      <c r="W117" s="7">
        <v>2</v>
      </c>
      <c r="X117" s="7">
        <v>2.74</v>
      </c>
      <c r="Y117" s="8">
        <v>118.5</v>
      </c>
      <c r="Z117" s="8">
        <v>11</v>
      </c>
      <c r="AA117" s="8">
        <v>0.5</v>
      </c>
      <c r="AB117" s="8">
        <v>5</v>
      </c>
      <c r="AC117" s="8">
        <v>135</v>
      </c>
      <c r="AD117" s="8">
        <v>195.75</v>
      </c>
      <c r="AE117" s="8">
        <v>60.75</v>
      </c>
      <c r="AF117" t="s">
        <v>20</v>
      </c>
    </row>
    <row r="118" spans="1:32">
      <c r="A118" t="s">
        <v>419</v>
      </c>
      <c r="B118" s="10">
        <v>46220</v>
      </c>
      <c r="C118">
        <v>29</v>
      </c>
      <c r="D118" t="s">
        <v>227</v>
      </c>
      <c r="E118" t="s">
        <v>420</v>
      </c>
      <c r="F118" t="s">
        <v>128</v>
      </c>
      <c r="G118" t="s">
        <v>88</v>
      </c>
      <c r="H118" t="s">
        <v>130</v>
      </c>
      <c r="I118">
        <v>45000</v>
      </c>
      <c r="J118" t="s">
        <v>112</v>
      </c>
      <c r="K118" s="7">
        <v>0.7</v>
      </c>
      <c r="L118" s="11">
        <v>0.82</v>
      </c>
      <c r="M118" s="7">
        <v>0.85</v>
      </c>
      <c r="N118" t="s">
        <v>55</v>
      </c>
      <c r="O118" t="s">
        <v>56</v>
      </c>
      <c r="P118" t="s">
        <v>66</v>
      </c>
      <c r="Q118" t="s">
        <v>67</v>
      </c>
      <c r="R118" t="s">
        <v>174</v>
      </c>
      <c r="S118" s="12">
        <v>46220.3333333333</v>
      </c>
      <c r="T118" s="12">
        <v>46220.36875</v>
      </c>
      <c r="U118" s="12">
        <v>46220.4416666667</v>
      </c>
      <c r="V118" t="s">
        <v>165</v>
      </c>
      <c r="W118" s="7">
        <v>0.85</v>
      </c>
      <c r="X118" s="7">
        <v>0</v>
      </c>
      <c r="Y118" s="8">
        <v>21.25</v>
      </c>
      <c r="Z118" s="8">
        <v>11</v>
      </c>
      <c r="AA118" s="8">
        <v>0.5</v>
      </c>
      <c r="AB118" s="8">
        <v>5</v>
      </c>
      <c r="AC118" s="8">
        <v>37.75</v>
      </c>
      <c r="AD118" s="8">
        <v>54.74</v>
      </c>
      <c r="AE118" s="8">
        <v>16.99</v>
      </c>
      <c r="AF118" t="s">
        <v>20</v>
      </c>
    </row>
    <row r="119" spans="1:32">
      <c r="A119" t="s">
        <v>421</v>
      </c>
      <c r="B119" s="10">
        <v>46230</v>
      </c>
      <c r="C119">
        <v>31</v>
      </c>
      <c r="D119" t="s">
        <v>252</v>
      </c>
      <c r="E119" t="s">
        <v>422</v>
      </c>
      <c r="F119" t="s">
        <v>128</v>
      </c>
      <c r="G119" t="s">
        <v>98</v>
      </c>
      <c r="H119" t="s">
        <v>130</v>
      </c>
      <c r="I119">
        <v>65000</v>
      </c>
      <c r="J119" t="s">
        <v>116</v>
      </c>
      <c r="K119" s="7">
        <v>0.6</v>
      </c>
      <c r="L119" s="11">
        <v>0.82</v>
      </c>
      <c r="M119" s="7">
        <v>0.73</v>
      </c>
      <c r="N119" t="s">
        <v>59</v>
      </c>
      <c r="O119" t="s">
        <v>60</v>
      </c>
      <c r="P119" t="s">
        <v>66</v>
      </c>
      <c r="Q119" t="s">
        <v>67</v>
      </c>
      <c r="R119" t="s">
        <v>178</v>
      </c>
      <c r="S119" s="12">
        <v>46230.4166666667</v>
      </c>
      <c r="T119" s="12">
        <v>46230.4470833333</v>
      </c>
      <c r="U119" s="12">
        <v>46230.7291666667</v>
      </c>
      <c r="V119" t="s">
        <v>319</v>
      </c>
      <c r="W119" s="7">
        <v>0.73</v>
      </c>
      <c r="X119" s="7">
        <v>0</v>
      </c>
      <c r="Y119" s="8">
        <v>18.25</v>
      </c>
      <c r="Z119" s="8">
        <v>11</v>
      </c>
      <c r="AA119" s="8">
        <v>0.5</v>
      </c>
      <c r="AB119" s="8">
        <v>5</v>
      </c>
      <c r="AC119" s="8">
        <v>34.75</v>
      </c>
      <c r="AD119" s="8">
        <v>50.39</v>
      </c>
      <c r="AE119" s="8">
        <v>15.64</v>
      </c>
      <c r="AF119" t="s">
        <v>320</v>
      </c>
    </row>
    <row r="120" spans="1:32">
      <c r="A120" t="s">
        <v>423</v>
      </c>
      <c r="B120" s="10">
        <v>46225</v>
      </c>
      <c r="C120">
        <v>30</v>
      </c>
      <c r="D120" t="s">
        <v>176</v>
      </c>
      <c r="E120" t="s">
        <v>424</v>
      </c>
      <c r="F120" t="s">
        <v>128</v>
      </c>
      <c r="G120" t="s">
        <v>102</v>
      </c>
      <c r="H120" t="s">
        <v>131</v>
      </c>
      <c r="I120">
        <v>35000</v>
      </c>
      <c r="J120" t="s">
        <v>110</v>
      </c>
      <c r="K120" s="7">
        <v>0.65</v>
      </c>
      <c r="L120" s="11">
        <v>0.82</v>
      </c>
      <c r="M120" s="7">
        <v>0.79</v>
      </c>
      <c r="N120" t="s">
        <v>61</v>
      </c>
      <c r="O120" t="s">
        <v>62</v>
      </c>
      <c r="P120" t="s">
        <v>66</v>
      </c>
      <c r="Q120" t="s">
        <v>67</v>
      </c>
      <c r="R120" t="s">
        <v>181</v>
      </c>
      <c r="S120" s="12">
        <v>46225.5833333333</v>
      </c>
      <c r="T120" s="12">
        <v>46225.61625</v>
      </c>
      <c r="U120" s="12">
        <v>46225.6891666667</v>
      </c>
      <c r="V120" t="s">
        <v>165</v>
      </c>
      <c r="W120" s="7">
        <v>0.79</v>
      </c>
      <c r="X120" s="7">
        <v>0</v>
      </c>
      <c r="Y120" s="8">
        <v>19.75</v>
      </c>
      <c r="Z120" s="8">
        <v>11</v>
      </c>
      <c r="AA120" s="8">
        <v>0.5</v>
      </c>
      <c r="AB120" s="8">
        <v>5</v>
      </c>
      <c r="AC120" s="8">
        <v>36.25</v>
      </c>
      <c r="AD120" s="8">
        <v>52.56</v>
      </c>
      <c r="AE120" s="8">
        <v>16.31</v>
      </c>
      <c r="AF120" t="s">
        <v>20</v>
      </c>
    </row>
    <row r="121" spans="1:32">
      <c r="A121" t="s">
        <v>425</v>
      </c>
      <c r="B121" s="10">
        <v>46219</v>
      </c>
      <c r="C121">
        <v>29</v>
      </c>
      <c r="D121" t="s">
        <v>224</v>
      </c>
      <c r="E121" t="s">
        <v>426</v>
      </c>
      <c r="F121" t="s">
        <v>128</v>
      </c>
      <c r="G121" t="s">
        <v>79</v>
      </c>
      <c r="H121" t="s">
        <v>127</v>
      </c>
      <c r="I121">
        <v>95000</v>
      </c>
      <c r="J121" t="s">
        <v>122</v>
      </c>
      <c r="K121" s="7">
        <v>0.7</v>
      </c>
      <c r="L121" s="11">
        <v>0.82</v>
      </c>
      <c r="M121" s="7">
        <v>0.85</v>
      </c>
      <c r="N121" t="s">
        <v>53</v>
      </c>
      <c r="O121" t="s">
        <v>54</v>
      </c>
      <c r="P121" t="s">
        <v>66</v>
      </c>
      <c r="Q121" t="s">
        <v>67</v>
      </c>
      <c r="R121" t="s">
        <v>184</v>
      </c>
      <c r="S121" s="12">
        <v>46219.6458333333</v>
      </c>
      <c r="T121" s="12">
        <v>46219.68125</v>
      </c>
      <c r="U121" s="12">
        <v>46219.7541666667</v>
      </c>
      <c r="V121" t="s">
        <v>170</v>
      </c>
      <c r="W121" s="7">
        <v>0.85</v>
      </c>
      <c r="X121" s="7">
        <v>0</v>
      </c>
      <c r="Y121" s="8">
        <v>21.25</v>
      </c>
      <c r="Z121" s="8">
        <v>11</v>
      </c>
      <c r="AA121" s="8">
        <v>0.5</v>
      </c>
      <c r="AB121" s="8">
        <v>5</v>
      </c>
      <c r="AC121" s="8">
        <v>37.75</v>
      </c>
      <c r="AD121" s="8">
        <v>54.74</v>
      </c>
      <c r="AE121" s="8">
        <v>16.99</v>
      </c>
      <c r="AF121" t="s">
        <v>20</v>
      </c>
    </row>
    <row r="122" spans="1:32">
      <c r="A122" t="s">
        <v>427</v>
      </c>
      <c r="B122" s="10">
        <v>46225</v>
      </c>
      <c r="C122">
        <v>30</v>
      </c>
      <c r="D122" t="s">
        <v>297</v>
      </c>
      <c r="E122" t="s">
        <v>428</v>
      </c>
      <c r="F122" t="s">
        <v>128</v>
      </c>
      <c r="G122" t="s">
        <v>85</v>
      </c>
      <c r="H122" t="s">
        <v>130</v>
      </c>
      <c r="I122">
        <v>10000</v>
      </c>
      <c r="J122" t="s">
        <v>105</v>
      </c>
      <c r="K122" s="7">
        <v>4.06</v>
      </c>
      <c r="L122" s="11">
        <v>0.82</v>
      </c>
      <c r="M122" s="7">
        <v>4.95</v>
      </c>
      <c r="N122" t="s">
        <v>55</v>
      </c>
      <c r="O122" t="s">
        <v>56</v>
      </c>
      <c r="P122" t="s">
        <v>63</v>
      </c>
      <c r="Q122" t="s">
        <v>64</v>
      </c>
      <c r="R122" t="s">
        <v>164</v>
      </c>
      <c r="S122" s="12">
        <v>46225.3333333333</v>
      </c>
      <c r="T122" s="12">
        <v>46225.5395833333</v>
      </c>
      <c r="U122" s="12">
        <v>46225.6125</v>
      </c>
      <c r="V122" t="s">
        <v>6</v>
      </c>
      <c r="W122" s="7">
        <v>4.95</v>
      </c>
      <c r="X122" s="7">
        <v>0</v>
      </c>
      <c r="Y122" s="8">
        <v>123.75</v>
      </c>
      <c r="Z122" s="8">
        <v>11</v>
      </c>
      <c r="AA122" s="8">
        <v>0.5</v>
      </c>
      <c r="AB122" s="8">
        <v>5</v>
      </c>
      <c r="AC122" s="8">
        <v>140.25</v>
      </c>
      <c r="AD122" s="8">
        <v>203.36</v>
      </c>
      <c r="AE122" s="8">
        <v>63.11</v>
      </c>
      <c r="AF122" t="s">
        <v>20</v>
      </c>
    </row>
    <row r="123" spans="1:32">
      <c r="A123" t="s">
        <v>429</v>
      </c>
      <c r="B123" s="10">
        <v>46226</v>
      </c>
      <c r="C123">
        <v>30</v>
      </c>
      <c r="D123" t="s">
        <v>188</v>
      </c>
      <c r="E123" t="s">
        <v>430</v>
      </c>
      <c r="F123" t="s">
        <v>128</v>
      </c>
      <c r="G123" t="s">
        <v>76</v>
      </c>
      <c r="H123" t="s">
        <v>127</v>
      </c>
      <c r="I123">
        <v>20000</v>
      </c>
      <c r="J123" t="s">
        <v>107</v>
      </c>
      <c r="K123" s="7">
        <v>3.53</v>
      </c>
      <c r="L123" s="11">
        <v>0.82</v>
      </c>
      <c r="M123" s="7">
        <v>4.3</v>
      </c>
      <c r="N123" t="s">
        <v>53</v>
      </c>
      <c r="O123" t="s">
        <v>54</v>
      </c>
      <c r="P123" t="s">
        <v>63</v>
      </c>
      <c r="Q123" t="s">
        <v>64</v>
      </c>
      <c r="R123" t="s">
        <v>169</v>
      </c>
      <c r="S123" s="12">
        <v>46226.4166666667</v>
      </c>
      <c r="T123" s="12">
        <v>46226.6375</v>
      </c>
      <c r="U123" s="12">
        <v>46226.7104166667</v>
      </c>
      <c r="V123" t="s">
        <v>170</v>
      </c>
      <c r="W123" s="7">
        <v>4.3</v>
      </c>
      <c r="X123" s="7">
        <v>0</v>
      </c>
      <c r="Y123" s="8">
        <v>107.5</v>
      </c>
      <c r="Z123" s="8">
        <v>11</v>
      </c>
      <c r="AA123" s="8">
        <v>0.5</v>
      </c>
      <c r="AB123" s="8">
        <v>5</v>
      </c>
      <c r="AC123" s="8">
        <v>124</v>
      </c>
      <c r="AD123" s="8">
        <v>179.8</v>
      </c>
      <c r="AE123" s="8">
        <v>55.8</v>
      </c>
      <c r="AF123" t="s">
        <v>20</v>
      </c>
    </row>
    <row r="124" spans="1:32">
      <c r="A124" t="s">
        <v>431</v>
      </c>
      <c r="B124" s="10">
        <v>46219</v>
      </c>
      <c r="C124">
        <v>29</v>
      </c>
      <c r="D124" t="s">
        <v>191</v>
      </c>
      <c r="E124" t="s">
        <v>432</v>
      </c>
      <c r="F124" t="s">
        <v>128</v>
      </c>
      <c r="G124" t="s">
        <v>101</v>
      </c>
      <c r="H124" t="s">
        <v>131</v>
      </c>
      <c r="I124">
        <v>40000</v>
      </c>
      <c r="J124" t="s">
        <v>111</v>
      </c>
      <c r="K124" s="7">
        <v>6.06</v>
      </c>
      <c r="L124" s="11">
        <v>0.82</v>
      </c>
      <c r="M124" s="7">
        <v>7.39</v>
      </c>
      <c r="N124" t="s">
        <v>53</v>
      </c>
      <c r="O124" t="s">
        <v>54</v>
      </c>
      <c r="P124" t="s">
        <v>63</v>
      </c>
      <c r="Q124" t="s">
        <v>64</v>
      </c>
      <c r="R124" t="s">
        <v>174</v>
      </c>
      <c r="S124" s="12">
        <v>46219.5833333333</v>
      </c>
      <c r="T124" s="12">
        <v>46219.89125</v>
      </c>
      <c r="U124" s="12">
        <v>46219.9641666667</v>
      </c>
      <c r="V124" t="s">
        <v>170</v>
      </c>
      <c r="W124" s="7">
        <v>4.39</v>
      </c>
      <c r="X124" s="7">
        <v>3</v>
      </c>
      <c r="Y124" s="8">
        <v>184.75</v>
      </c>
      <c r="Z124" s="8">
        <v>11</v>
      </c>
      <c r="AA124" s="8">
        <v>0.5</v>
      </c>
      <c r="AB124" s="8">
        <v>5</v>
      </c>
      <c r="AC124" s="8">
        <v>201.25</v>
      </c>
      <c r="AD124" s="8">
        <v>291.81</v>
      </c>
      <c r="AE124" s="8">
        <v>90.56</v>
      </c>
      <c r="AF124" t="s">
        <v>20</v>
      </c>
    </row>
    <row r="125" spans="1:32">
      <c r="A125" t="s">
        <v>433</v>
      </c>
      <c r="B125" s="10">
        <v>46216</v>
      </c>
      <c r="C125">
        <v>29</v>
      </c>
      <c r="D125" t="s">
        <v>172</v>
      </c>
      <c r="E125" t="s">
        <v>434</v>
      </c>
      <c r="F125" t="s">
        <v>128</v>
      </c>
      <c r="G125" t="s">
        <v>84</v>
      </c>
      <c r="H125" t="s">
        <v>130</v>
      </c>
      <c r="I125">
        <v>45000</v>
      </c>
      <c r="J125" t="s">
        <v>112</v>
      </c>
      <c r="K125" s="7">
        <v>0.7</v>
      </c>
      <c r="L125" s="11">
        <v>0.82</v>
      </c>
      <c r="M125" s="7">
        <v>0.85</v>
      </c>
      <c r="N125" t="s">
        <v>57</v>
      </c>
      <c r="O125" t="s">
        <v>58</v>
      </c>
      <c r="P125" t="s">
        <v>63</v>
      </c>
      <c r="Q125" t="s">
        <v>64</v>
      </c>
      <c r="R125" t="s">
        <v>178</v>
      </c>
      <c r="S125" s="12">
        <v>46216.6458333333</v>
      </c>
      <c r="T125" s="12">
        <v>46216.68125</v>
      </c>
      <c r="U125" s="12">
        <v>46216.7541666667</v>
      </c>
      <c r="V125" t="s">
        <v>6</v>
      </c>
      <c r="W125" s="7">
        <v>0.85</v>
      </c>
      <c r="X125" s="7">
        <v>0</v>
      </c>
      <c r="Y125" s="8">
        <v>21.25</v>
      </c>
      <c r="Z125" s="8">
        <v>11</v>
      </c>
      <c r="AA125" s="8">
        <v>0.5</v>
      </c>
      <c r="AB125" s="8">
        <v>5</v>
      </c>
      <c r="AC125" s="8">
        <v>37.75</v>
      </c>
      <c r="AD125" s="8">
        <v>54.74</v>
      </c>
      <c r="AE125" s="8">
        <v>16.99</v>
      </c>
      <c r="AF125" t="s">
        <v>20</v>
      </c>
    </row>
    <row r="126" spans="1:32">
      <c r="A126" t="s">
        <v>435</v>
      </c>
      <c r="B126" s="10">
        <v>46223</v>
      </c>
      <c r="C126">
        <v>30</v>
      </c>
      <c r="D126" t="s">
        <v>194</v>
      </c>
      <c r="E126" t="s">
        <v>436</v>
      </c>
      <c r="F126" t="s">
        <v>128</v>
      </c>
      <c r="G126" t="s">
        <v>98</v>
      </c>
      <c r="H126" t="s">
        <v>130</v>
      </c>
      <c r="I126">
        <v>70000</v>
      </c>
      <c r="J126" t="s">
        <v>117</v>
      </c>
      <c r="K126" s="7">
        <v>4.66</v>
      </c>
      <c r="L126" s="11">
        <v>0.82</v>
      </c>
      <c r="M126" s="7">
        <v>5.68</v>
      </c>
      <c r="N126" t="s">
        <v>57</v>
      </c>
      <c r="O126" t="s">
        <v>58</v>
      </c>
      <c r="P126" t="s">
        <v>63</v>
      </c>
      <c r="Q126" t="s">
        <v>64</v>
      </c>
      <c r="R126" t="s">
        <v>181</v>
      </c>
      <c r="S126" s="12">
        <v>46223.3333333333</v>
      </c>
      <c r="T126" s="12">
        <v>46223.6116666667</v>
      </c>
      <c r="U126" s="12">
        <v>46223.6845833333</v>
      </c>
      <c r="V126" t="s">
        <v>6</v>
      </c>
      <c r="W126" s="7">
        <v>5.68</v>
      </c>
      <c r="X126" s="7">
        <v>0</v>
      </c>
      <c r="Y126" s="8">
        <v>142</v>
      </c>
      <c r="Z126" s="8">
        <v>11</v>
      </c>
      <c r="AA126" s="8">
        <v>0.5</v>
      </c>
      <c r="AB126" s="8">
        <v>5</v>
      </c>
      <c r="AC126" s="8">
        <v>158.5</v>
      </c>
      <c r="AD126" s="8">
        <v>229.82</v>
      </c>
      <c r="AE126" s="8">
        <v>71.32</v>
      </c>
      <c r="AF126" t="s">
        <v>20</v>
      </c>
    </row>
    <row r="127" spans="1:32">
      <c r="A127" t="s">
        <v>437</v>
      </c>
      <c r="B127" s="10">
        <v>46220</v>
      </c>
      <c r="C127">
        <v>29</v>
      </c>
      <c r="D127" t="s">
        <v>191</v>
      </c>
      <c r="E127" t="s">
        <v>438</v>
      </c>
      <c r="F127" t="s">
        <v>128</v>
      </c>
      <c r="G127" t="s">
        <v>101</v>
      </c>
      <c r="H127" t="s">
        <v>131</v>
      </c>
      <c r="I127">
        <v>75000</v>
      </c>
      <c r="J127" t="s">
        <v>118</v>
      </c>
      <c r="K127" s="7">
        <v>1.5</v>
      </c>
      <c r="L127" s="11">
        <v>0.82</v>
      </c>
      <c r="M127" s="7">
        <v>1.83</v>
      </c>
      <c r="N127" t="s">
        <v>55</v>
      </c>
      <c r="O127" t="s">
        <v>56</v>
      </c>
      <c r="P127" t="s">
        <v>63</v>
      </c>
      <c r="Q127" t="s">
        <v>64</v>
      </c>
      <c r="R127" t="s">
        <v>184</v>
      </c>
      <c r="S127" s="12">
        <v>46220.4166666667</v>
      </c>
      <c r="T127" s="12">
        <v>46220.4929166667</v>
      </c>
      <c r="U127" s="12">
        <v>46220.5658333333</v>
      </c>
      <c r="V127" t="s">
        <v>6</v>
      </c>
      <c r="W127" s="7">
        <v>1.83</v>
      </c>
      <c r="X127" s="7">
        <v>0</v>
      </c>
      <c r="Y127" s="8">
        <v>45.75</v>
      </c>
      <c r="Z127" s="8">
        <v>11</v>
      </c>
      <c r="AA127" s="8">
        <v>0.5</v>
      </c>
      <c r="AB127" s="8">
        <v>5</v>
      </c>
      <c r="AC127" s="8">
        <v>62.25</v>
      </c>
      <c r="AD127" s="8">
        <v>90.26</v>
      </c>
      <c r="AE127" s="8">
        <v>28.01</v>
      </c>
      <c r="AF127" t="s">
        <v>20</v>
      </c>
    </row>
    <row r="128" spans="1:32">
      <c r="A128" t="s">
        <v>439</v>
      </c>
      <c r="B128" s="10">
        <v>46216</v>
      </c>
      <c r="C128">
        <v>29</v>
      </c>
      <c r="D128" t="s">
        <v>212</v>
      </c>
      <c r="E128" t="s">
        <v>440</v>
      </c>
      <c r="F128" t="s">
        <v>128</v>
      </c>
      <c r="G128" t="s">
        <v>80</v>
      </c>
      <c r="H128" t="s">
        <v>127</v>
      </c>
      <c r="I128">
        <v>35000</v>
      </c>
      <c r="J128" t="s">
        <v>110</v>
      </c>
      <c r="K128" s="7">
        <v>0.5</v>
      </c>
      <c r="L128" s="11">
        <v>0.82</v>
      </c>
      <c r="M128" s="7">
        <v>0.61</v>
      </c>
      <c r="N128" t="s">
        <v>50</v>
      </c>
      <c r="O128" t="s">
        <v>51</v>
      </c>
      <c r="P128" t="s">
        <v>66</v>
      </c>
      <c r="Q128" t="s">
        <v>67</v>
      </c>
      <c r="R128" t="s">
        <v>164</v>
      </c>
      <c r="S128" s="12">
        <v>46216.5833333333</v>
      </c>
      <c r="T128" s="12">
        <v>46216.60875</v>
      </c>
      <c r="U128" s="12">
        <v>46216.6816666667</v>
      </c>
      <c r="V128" t="s">
        <v>170</v>
      </c>
      <c r="W128" s="7">
        <v>0.61</v>
      </c>
      <c r="X128" s="7">
        <v>0</v>
      </c>
      <c r="Y128" s="8">
        <v>15.25</v>
      </c>
      <c r="Z128" s="8">
        <v>11</v>
      </c>
      <c r="AA128" s="8">
        <v>0.5</v>
      </c>
      <c r="AB128" s="8">
        <v>5</v>
      </c>
      <c r="AC128" s="8">
        <v>31.75</v>
      </c>
      <c r="AD128" s="8">
        <v>46.04</v>
      </c>
      <c r="AE128" s="8">
        <v>14.29</v>
      </c>
      <c r="AF128" t="s">
        <v>20</v>
      </c>
    </row>
    <row r="129" spans="1:32">
      <c r="A129" t="s">
        <v>441</v>
      </c>
      <c r="B129" s="10">
        <v>46226</v>
      </c>
      <c r="C129">
        <v>30</v>
      </c>
      <c r="D129" t="s">
        <v>176</v>
      </c>
      <c r="E129" t="s">
        <v>442</v>
      </c>
      <c r="F129" t="s">
        <v>128</v>
      </c>
      <c r="G129" t="s">
        <v>85</v>
      </c>
      <c r="H129" t="s">
        <v>130</v>
      </c>
      <c r="I129">
        <v>55000</v>
      </c>
      <c r="J129" t="s">
        <v>114</v>
      </c>
      <c r="K129" s="7">
        <v>0.5</v>
      </c>
      <c r="L129" s="11">
        <v>0.82</v>
      </c>
      <c r="M129" s="7">
        <v>0.61</v>
      </c>
      <c r="N129" t="s">
        <v>59</v>
      </c>
      <c r="O129" t="s">
        <v>60</v>
      </c>
      <c r="P129" t="s">
        <v>66</v>
      </c>
      <c r="Q129" t="s">
        <v>67</v>
      </c>
      <c r="R129" t="s">
        <v>169</v>
      </c>
      <c r="S129" s="12">
        <v>46226.6458333333</v>
      </c>
      <c r="T129" s="12">
        <v>46226.67125</v>
      </c>
      <c r="U129" s="12">
        <v>46226.7441666667</v>
      </c>
      <c r="V129" t="s">
        <v>170</v>
      </c>
      <c r="W129" s="7">
        <v>0.61</v>
      </c>
      <c r="X129" s="7">
        <v>0</v>
      </c>
      <c r="Y129" s="8">
        <v>15.25</v>
      </c>
      <c r="Z129" s="8">
        <v>11</v>
      </c>
      <c r="AA129" s="8">
        <v>0.5</v>
      </c>
      <c r="AB129" s="8">
        <v>5</v>
      </c>
      <c r="AC129" s="8">
        <v>31.75</v>
      </c>
      <c r="AD129" s="8">
        <v>46.04</v>
      </c>
      <c r="AE129" s="8">
        <v>14.29</v>
      </c>
      <c r="AF129" t="s">
        <v>20</v>
      </c>
    </row>
    <row r="130" spans="1:32">
      <c r="A130" t="s">
        <v>443</v>
      </c>
      <c r="B130" s="10">
        <v>46218</v>
      </c>
      <c r="C130">
        <v>29</v>
      </c>
      <c r="D130" t="s">
        <v>191</v>
      </c>
      <c r="E130" t="s">
        <v>444</v>
      </c>
      <c r="F130" t="s">
        <v>128</v>
      </c>
      <c r="G130" t="s">
        <v>101</v>
      </c>
      <c r="H130" t="s">
        <v>131</v>
      </c>
      <c r="I130">
        <v>25000</v>
      </c>
      <c r="J130" t="s">
        <v>108</v>
      </c>
      <c r="K130" s="7">
        <v>1.3</v>
      </c>
      <c r="L130" s="11">
        <v>0.82</v>
      </c>
      <c r="M130" s="7">
        <v>1.59</v>
      </c>
      <c r="N130" t="s">
        <v>50</v>
      </c>
      <c r="O130" t="s">
        <v>51</v>
      </c>
      <c r="P130" t="s">
        <v>63</v>
      </c>
      <c r="Q130" t="s">
        <v>64</v>
      </c>
      <c r="R130" t="s">
        <v>174</v>
      </c>
      <c r="S130" s="12">
        <v>46218.3333333333</v>
      </c>
      <c r="T130" s="12">
        <v>46218.3995833333</v>
      </c>
      <c r="U130" s="12">
        <v>46218.4725</v>
      </c>
      <c r="V130" t="s">
        <v>165</v>
      </c>
      <c r="W130" s="7">
        <v>1.59</v>
      </c>
      <c r="X130" s="7">
        <v>0</v>
      </c>
      <c r="Y130" s="8">
        <v>39.75</v>
      </c>
      <c r="Z130" s="8">
        <v>11</v>
      </c>
      <c r="AA130" s="8">
        <v>0.5</v>
      </c>
      <c r="AB130" s="8">
        <v>5</v>
      </c>
      <c r="AC130" s="8">
        <v>56.25</v>
      </c>
      <c r="AD130" s="8">
        <v>81.56</v>
      </c>
      <c r="AE130" s="8">
        <v>25.31</v>
      </c>
      <c r="AF130" t="s">
        <v>20</v>
      </c>
    </row>
    <row r="131" spans="1:32">
      <c r="A131" t="s">
        <v>445</v>
      </c>
      <c r="B131" s="10">
        <v>46227</v>
      </c>
      <c r="C131">
        <v>30</v>
      </c>
      <c r="D131" t="s">
        <v>162</v>
      </c>
      <c r="E131" t="s">
        <v>446</v>
      </c>
      <c r="F131" t="s">
        <v>128</v>
      </c>
      <c r="G131" t="s">
        <v>80</v>
      </c>
      <c r="H131" t="s">
        <v>127</v>
      </c>
      <c r="I131">
        <v>60000</v>
      </c>
      <c r="J131" t="s">
        <v>115</v>
      </c>
      <c r="K131" s="7">
        <v>8.6</v>
      </c>
      <c r="L131" s="11">
        <v>0.82</v>
      </c>
      <c r="M131" s="7">
        <v>10.49</v>
      </c>
      <c r="N131" t="s">
        <v>55</v>
      </c>
      <c r="O131" t="s">
        <v>56</v>
      </c>
      <c r="P131" t="s">
        <v>66</v>
      </c>
      <c r="Q131" t="s">
        <v>67</v>
      </c>
      <c r="R131" t="s">
        <v>178</v>
      </c>
      <c r="S131" s="12">
        <v>46227.4166666667</v>
      </c>
      <c r="T131" s="12">
        <v>46227.8954166667</v>
      </c>
      <c r="U131" s="12">
        <v>46227.9683333333</v>
      </c>
      <c r="V131" t="s">
        <v>170</v>
      </c>
      <c r="W131" s="7">
        <v>7.49</v>
      </c>
      <c r="X131" s="7">
        <v>3</v>
      </c>
      <c r="Y131" s="8">
        <v>262.25</v>
      </c>
      <c r="Z131" s="8">
        <v>11</v>
      </c>
      <c r="AA131" s="8">
        <v>0.5</v>
      </c>
      <c r="AB131" s="8">
        <v>5</v>
      </c>
      <c r="AC131" s="8">
        <v>278.75</v>
      </c>
      <c r="AD131" s="8">
        <v>404.19</v>
      </c>
      <c r="AE131" s="8">
        <v>125.44</v>
      </c>
      <c r="AF131" t="s">
        <v>20</v>
      </c>
    </row>
    <row r="132" spans="1:32">
      <c r="A132" t="s">
        <v>447</v>
      </c>
      <c r="B132" s="10">
        <v>46230</v>
      </c>
      <c r="C132">
        <v>31</v>
      </c>
      <c r="D132" t="s">
        <v>162</v>
      </c>
      <c r="E132" t="s">
        <v>448</v>
      </c>
      <c r="F132" t="s">
        <v>128</v>
      </c>
      <c r="G132" t="s">
        <v>99</v>
      </c>
      <c r="H132" t="s">
        <v>130</v>
      </c>
      <c r="I132">
        <v>20000</v>
      </c>
      <c r="J132" t="s">
        <v>107</v>
      </c>
      <c r="K132" s="7">
        <v>5.46</v>
      </c>
      <c r="L132" s="11">
        <v>0.82</v>
      </c>
      <c r="M132" s="7">
        <v>6.66</v>
      </c>
      <c r="N132" t="s">
        <v>59</v>
      </c>
      <c r="O132" t="s">
        <v>60</v>
      </c>
      <c r="P132" t="s">
        <v>63</v>
      </c>
      <c r="Q132" t="s">
        <v>64</v>
      </c>
      <c r="R132" t="s">
        <v>181</v>
      </c>
      <c r="S132" s="12">
        <v>46230.5833333333</v>
      </c>
      <c r="T132" s="12">
        <v>46230.8608333333</v>
      </c>
      <c r="U132" s="12">
        <v>46230.93375</v>
      </c>
      <c r="V132" t="s">
        <v>170</v>
      </c>
      <c r="W132" s="7">
        <v>3.66</v>
      </c>
      <c r="X132" s="7">
        <v>3</v>
      </c>
      <c r="Y132" s="8">
        <v>166.5</v>
      </c>
      <c r="Z132" s="8">
        <v>11</v>
      </c>
      <c r="AA132" s="8">
        <v>0.5</v>
      </c>
      <c r="AB132" s="8">
        <v>5</v>
      </c>
      <c r="AC132" s="8">
        <v>183</v>
      </c>
      <c r="AD132" s="8">
        <v>265.35</v>
      </c>
      <c r="AE132" s="8">
        <v>82.35</v>
      </c>
      <c r="AF132" t="s">
        <v>20</v>
      </c>
    </row>
    <row r="133" spans="1:32">
      <c r="A133" t="s">
        <v>449</v>
      </c>
      <c r="B133" s="10">
        <v>46223</v>
      </c>
      <c r="C133">
        <v>30</v>
      </c>
      <c r="D133" t="s">
        <v>207</v>
      </c>
      <c r="E133" t="s">
        <v>450</v>
      </c>
      <c r="F133" t="s">
        <v>128</v>
      </c>
      <c r="G133" t="s">
        <v>96</v>
      </c>
      <c r="H133" t="s">
        <v>130</v>
      </c>
      <c r="I133">
        <v>1500</v>
      </c>
      <c r="J133" t="s">
        <v>103</v>
      </c>
      <c r="K133" s="7">
        <v>0.6</v>
      </c>
      <c r="L133" s="11">
        <v>0.82</v>
      </c>
      <c r="M133" s="7">
        <v>0.73</v>
      </c>
      <c r="N133" t="s">
        <v>59</v>
      </c>
      <c r="O133" t="s">
        <v>60</v>
      </c>
      <c r="P133" t="s">
        <v>66</v>
      </c>
      <c r="Q133" t="s">
        <v>67</v>
      </c>
      <c r="R133" t="s">
        <v>184</v>
      </c>
      <c r="S133" s="12">
        <v>46223.6458333333</v>
      </c>
      <c r="T133" s="12">
        <v>46223.67625</v>
      </c>
      <c r="U133" s="12">
        <v>46223.7491666667</v>
      </c>
      <c r="V133" t="s">
        <v>170</v>
      </c>
      <c r="W133" s="7">
        <v>0.73</v>
      </c>
      <c r="X133" s="7">
        <v>0</v>
      </c>
      <c r="Y133" s="8">
        <v>18.25</v>
      </c>
      <c r="Z133" s="8">
        <v>11</v>
      </c>
      <c r="AA133" s="8">
        <v>0.5</v>
      </c>
      <c r="AB133" s="8">
        <v>5</v>
      </c>
      <c r="AC133" s="8">
        <v>34.75</v>
      </c>
      <c r="AD133" s="8">
        <v>50.39</v>
      </c>
      <c r="AE133" s="8">
        <v>15.64</v>
      </c>
      <c r="AF133" t="s">
        <v>20</v>
      </c>
    </row>
    <row r="134" spans="1:32">
      <c r="A134" t="s">
        <v>451</v>
      </c>
      <c r="B134" s="10">
        <v>46226</v>
      </c>
      <c r="C134">
        <v>30</v>
      </c>
      <c r="D134" t="s">
        <v>199</v>
      </c>
      <c r="E134" t="s">
        <v>452</v>
      </c>
      <c r="F134" t="s">
        <v>128</v>
      </c>
      <c r="G134" t="s">
        <v>80</v>
      </c>
      <c r="H134" t="s">
        <v>127</v>
      </c>
      <c r="I134">
        <v>5000</v>
      </c>
      <c r="J134" t="s">
        <v>104</v>
      </c>
      <c r="K134" s="7">
        <v>0.5</v>
      </c>
      <c r="L134" s="11">
        <v>0.82</v>
      </c>
      <c r="M134" s="7">
        <v>0.61</v>
      </c>
      <c r="N134" t="s">
        <v>57</v>
      </c>
      <c r="O134" t="s">
        <v>58</v>
      </c>
      <c r="P134" t="s">
        <v>63</v>
      </c>
      <c r="Q134" t="s">
        <v>64</v>
      </c>
      <c r="R134" t="s">
        <v>164</v>
      </c>
      <c r="S134" s="12">
        <v>46226.3333333333</v>
      </c>
      <c r="T134" s="12">
        <v>46226.35875</v>
      </c>
      <c r="U134" s="12">
        <v>46226.4316666667</v>
      </c>
      <c r="V134" t="s">
        <v>165</v>
      </c>
      <c r="W134" s="7">
        <v>0.61</v>
      </c>
      <c r="X134" s="7">
        <v>0</v>
      </c>
      <c r="Y134" s="8">
        <v>15.25</v>
      </c>
      <c r="Z134" s="8">
        <v>11</v>
      </c>
      <c r="AA134" s="8">
        <v>0.5</v>
      </c>
      <c r="AB134" s="8">
        <v>5</v>
      </c>
      <c r="AC134" s="8">
        <v>31.75</v>
      </c>
      <c r="AD134" s="8">
        <v>46.04</v>
      </c>
      <c r="AE134" s="8">
        <v>14.29</v>
      </c>
      <c r="AF134" t="s">
        <v>20</v>
      </c>
    </row>
    <row r="135" spans="1:32">
      <c r="A135" t="s">
        <v>453</v>
      </c>
      <c r="B135" s="10">
        <v>46216</v>
      </c>
      <c r="C135">
        <v>29</v>
      </c>
      <c r="D135" t="s">
        <v>207</v>
      </c>
      <c r="E135" t="s">
        <v>454</v>
      </c>
      <c r="F135" t="s">
        <v>128</v>
      </c>
      <c r="G135" t="s">
        <v>82</v>
      </c>
      <c r="H135" t="s">
        <v>130</v>
      </c>
      <c r="I135">
        <v>1500</v>
      </c>
      <c r="J135" t="s">
        <v>103</v>
      </c>
      <c r="K135" s="7">
        <v>0.45</v>
      </c>
      <c r="L135" s="11">
        <v>0.82</v>
      </c>
      <c r="M135" s="7">
        <v>0.55</v>
      </c>
      <c r="N135" t="s">
        <v>50</v>
      </c>
      <c r="O135" t="s">
        <v>51</v>
      </c>
      <c r="P135" t="s">
        <v>63</v>
      </c>
      <c r="Q135" t="s">
        <v>64</v>
      </c>
      <c r="R135" t="s">
        <v>169</v>
      </c>
      <c r="S135" s="12">
        <v>46216.4166666667</v>
      </c>
      <c r="T135" s="12">
        <v>46216.4395833333</v>
      </c>
      <c r="U135" s="12">
        <v>46216.5125</v>
      </c>
      <c r="V135" t="s">
        <v>165</v>
      </c>
      <c r="W135" s="7">
        <v>0.55</v>
      </c>
      <c r="X135" s="7">
        <v>0</v>
      </c>
      <c r="Y135" s="8">
        <v>13.75</v>
      </c>
      <c r="Z135" s="8">
        <v>11</v>
      </c>
      <c r="AA135" s="8">
        <v>0.5</v>
      </c>
      <c r="AB135" s="8">
        <v>5</v>
      </c>
      <c r="AC135" s="8">
        <v>30.25</v>
      </c>
      <c r="AD135" s="8">
        <v>43.86</v>
      </c>
      <c r="AE135" s="8">
        <v>13.61</v>
      </c>
      <c r="AF135" t="s">
        <v>20</v>
      </c>
    </row>
    <row r="136" spans="1:32">
      <c r="A136" t="s">
        <v>455</v>
      </c>
      <c r="B136" s="10">
        <v>46226</v>
      </c>
      <c r="C136">
        <v>30</v>
      </c>
      <c r="D136" t="s">
        <v>207</v>
      </c>
      <c r="E136" t="s">
        <v>456</v>
      </c>
      <c r="F136" t="s">
        <v>128</v>
      </c>
      <c r="G136" t="s">
        <v>78</v>
      </c>
      <c r="H136" t="s">
        <v>127</v>
      </c>
      <c r="I136">
        <v>95000</v>
      </c>
      <c r="J136" t="s">
        <v>122</v>
      </c>
      <c r="K136" s="7">
        <v>0.5</v>
      </c>
      <c r="L136" s="11">
        <v>0.82</v>
      </c>
      <c r="M136" s="7">
        <v>0.61</v>
      </c>
      <c r="N136" t="s">
        <v>59</v>
      </c>
      <c r="O136" t="s">
        <v>60</v>
      </c>
      <c r="P136" t="s">
        <v>66</v>
      </c>
      <c r="Q136" t="s">
        <v>67</v>
      </c>
      <c r="R136" t="s">
        <v>174</v>
      </c>
      <c r="S136" s="12">
        <v>46226.5833333333</v>
      </c>
      <c r="T136" s="12">
        <v>46226.60875</v>
      </c>
      <c r="U136" s="12">
        <v>46226.6816666667</v>
      </c>
      <c r="V136" t="s">
        <v>170</v>
      </c>
      <c r="W136" s="7">
        <v>0.61</v>
      </c>
      <c r="X136" s="7">
        <v>0</v>
      </c>
      <c r="Y136" s="8">
        <v>15.25</v>
      </c>
      <c r="Z136" s="8">
        <v>11</v>
      </c>
      <c r="AA136" s="8">
        <v>0.5</v>
      </c>
      <c r="AB136" s="8">
        <v>5</v>
      </c>
      <c r="AC136" s="8">
        <v>31.75</v>
      </c>
      <c r="AD136" s="8">
        <v>46.04</v>
      </c>
      <c r="AE136" s="8">
        <v>14.29</v>
      </c>
      <c r="AF136" t="s">
        <v>20</v>
      </c>
    </row>
    <row r="137" spans="1:32">
      <c r="A137" t="s">
        <v>457</v>
      </c>
      <c r="B137" s="10">
        <v>46217</v>
      </c>
      <c r="C137">
        <v>29</v>
      </c>
      <c r="D137" t="s">
        <v>199</v>
      </c>
      <c r="E137" t="s">
        <v>458</v>
      </c>
      <c r="F137" t="s">
        <v>128</v>
      </c>
      <c r="G137" t="s">
        <v>76</v>
      </c>
      <c r="H137" t="s">
        <v>127</v>
      </c>
      <c r="I137">
        <v>10000</v>
      </c>
      <c r="J137" t="s">
        <v>105</v>
      </c>
      <c r="K137" s="7">
        <v>3.03</v>
      </c>
      <c r="L137" s="11">
        <v>0.82</v>
      </c>
      <c r="M137" s="7">
        <v>3.7</v>
      </c>
      <c r="N137" t="s">
        <v>55</v>
      </c>
      <c r="O137" t="s">
        <v>56</v>
      </c>
      <c r="P137" t="s">
        <v>66</v>
      </c>
      <c r="Q137" t="s">
        <v>67</v>
      </c>
      <c r="R137" t="s">
        <v>178</v>
      </c>
      <c r="S137" s="12">
        <v>46217.6458333333</v>
      </c>
      <c r="T137" s="12">
        <v>46217.8</v>
      </c>
      <c r="U137" s="12">
        <v>46217.8729166667</v>
      </c>
      <c r="V137" t="s">
        <v>165</v>
      </c>
      <c r="W137" s="7">
        <v>2</v>
      </c>
      <c r="X137" s="7">
        <v>1.7</v>
      </c>
      <c r="Y137" s="8">
        <v>92.5</v>
      </c>
      <c r="Z137" s="8">
        <v>11</v>
      </c>
      <c r="AA137" s="8">
        <v>0.5</v>
      </c>
      <c r="AB137" s="8">
        <v>5</v>
      </c>
      <c r="AC137" s="8">
        <v>109</v>
      </c>
      <c r="AD137" s="8">
        <v>158.05</v>
      </c>
      <c r="AE137" s="8">
        <v>49.05</v>
      </c>
      <c r="AF137" t="s">
        <v>20</v>
      </c>
    </row>
    <row r="138" spans="1:32">
      <c r="A138" t="s">
        <v>459</v>
      </c>
      <c r="B138" s="10">
        <v>46218</v>
      </c>
      <c r="C138">
        <v>29</v>
      </c>
      <c r="D138" t="s">
        <v>207</v>
      </c>
      <c r="E138" t="s">
        <v>460</v>
      </c>
      <c r="F138" t="s">
        <v>128</v>
      </c>
      <c r="G138" t="s">
        <v>78</v>
      </c>
      <c r="H138" t="s">
        <v>127</v>
      </c>
      <c r="I138">
        <v>10000</v>
      </c>
      <c r="J138" t="s">
        <v>105</v>
      </c>
      <c r="K138" s="7">
        <v>3.03</v>
      </c>
      <c r="L138" s="11">
        <v>0.82</v>
      </c>
      <c r="M138" s="7">
        <v>3.7</v>
      </c>
      <c r="N138" t="s">
        <v>50</v>
      </c>
      <c r="O138" t="s">
        <v>51</v>
      </c>
      <c r="P138" t="s">
        <v>66</v>
      </c>
      <c r="Q138" t="s">
        <v>67</v>
      </c>
      <c r="R138" t="s">
        <v>181</v>
      </c>
      <c r="S138" s="12">
        <v>46218.3333333333</v>
      </c>
      <c r="T138" s="12">
        <v>46218.4875</v>
      </c>
      <c r="U138" s="12">
        <v>46218.5604166667</v>
      </c>
      <c r="V138" t="s">
        <v>201</v>
      </c>
      <c r="W138" s="7">
        <v>3.7</v>
      </c>
      <c r="X138" s="7">
        <v>0</v>
      </c>
      <c r="Y138" s="8">
        <v>92.5</v>
      </c>
      <c r="Z138" s="8">
        <v>11</v>
      </c>
      <c r="AA138" s="8">
        <v>0.5</v>
      </c>
      <c r="AB138" s="8">
        <v>5</v>
      </c>
      <c r="AC138" s="8">
        <v>109</v>
      </c>
      <c r="AD138" s="8">
        <v>158.05</v>
      </c>
      <c r="AE138" s="8">
        <v>49.05</v>
      </c>
      <c r="AF138" t="s">
        <v>20</v>
      </c>
    </row>
    <row r="139" spans="1:32">
      <c r="A139" t="s">
        <v>461</v>
      </c>
      <c r="B139" s="10">
        <v>46224</v>
      </c>
      <c r="C139">
        <v>30</v>
      </c>
      <c r="D139" t="s">
        <v>297</v>
      </c>
      <c r="E139" t="s">
        <v>462</v>
      </c>
      <c r="F139" t="s">
        <v>128</v>
      </c>
      <c r="G139" t="s">
        <v>101</v>
      </c>
      <c r="H139" t="s">
        <v>131</v>
      </c>
      <c r="I139">
        <v>55000</v>
      </c>
      <c r="J139" t="s">
        <v>114</v>
      </c>
      <c r="K139" s="7">
        <v>0.6</v>
      </c>
      <c r="L139" s="11">
        <v>0.82</v>
      </c>
      <c r="M139" s="7">
        <v>0.73</v>
      </c>
      <c r="N139" t="s">
        <v>57</v>
      </c>
      <c r="O139" t="s">
        <v>58</v>
      </c>
      <c r="P139" t="s">
        <v>63</v>
      </c>
      <c r="Q139" t="s">
        <v>64</v>
      </c>
      <c r="R139" t="s">
        <v>184</v>
      </c>
      <c r="S139" s="12">
        <v>46224.4166666667</v>
      </c>
      <c r="T139" s="12">
        <v>46224.4470833333</v>
      </c>
      <c r="U139" s="12">
        <v>46224.52</v>
      </c>
      <c r="V139" t="s">
        <v>6</v>
      </c>
      <c r="W139" s="7">
        <v>0.73</v>
      </c>
      <c r="X139" s="7">
        <v>0</v>
      </c>
      <c r="Y139" s="8">
        <v>18.25</v>
      </c>
      <c r="Z139" s="8">
        <v>11</v>
      </c>
      <c r="AA139" s="8">
        <v>0.5</v>
      </c>
      <c r="AB139" s="8">
        <v>5</v>
      </c>
      <c r="AC139" s="8">
        <v>34.75</v>
      </c>
      <c r="AD139" s="8">
        <v>50.39</v>
      </c>
      <c r="AE139" s="8">
        <v>15.64</v>
      </c>
      <c r="AF139" t="s">
        <v>20</v>
      </c>
    </row>
    <row r="140" spans="1:32">
      <c r="A140" t="s">
        <v>463</v>
      </c>
      <c r="B140" s="10">
        <v>46219</v>
      </c>
      <c r="C140">
        <v>29</v>
      </c>
      <c r="D140" t="s">
        <v>172</v>
      </c>
      <c r="E140" t="s">
        <v>464</v>
      </c>
      <c r="F140" t="s">
        <v>128</v>
      </c>
      <c r="G140" t="s">
        <v>77</v>
      </c>
      <c r="H140" t="s">
        <v>127</v>
      </c>
      <c r="I140">
        <v>90000</v>
      </c>
      <c r="J140" t="s">
        <v>121</v>
      </c>
      <c r="K140" s="7">
        <v>5.33</v>
      </c>
      <c r="L140" s="11">
        <v>0.82</v>
      </c>
      <c r="M140" s="7">
        <v>6.5</v>
      </c>
      <c r="N140" t="s">
        <v>61</v>
      </c>
      <c r="O140" t="s">
        <v>62</v>
      </c>
      <c r="P140" t="s">
        <v>66</v>
      </c>
      <c r="Q140" t="s">
        <v>67</v>
      </c>
      <c r="R140" t="s">
        <v>164</v>
      </c>
      <c r="S140" s="12">
        <v>46219.5833333333</v>
      </c>
      <c r="T140" s="12">
        <v>46219.8541666667</v>
      </c>
      <c r="U140" s="12">
        <v>46219.9270833333</v>
      </c>
      <c r="V140" t="s">
        <v>170</v>
      </c>
      <c r="W140" s="7">
        <v>3.5</v>
      </c>
      <c r="X140" s="7">
        <v>3</v>
      </c>
      <c r="Y140" s="8">
        <v>162.5</v>
      </c>
      <c r="Z140" s="8">
        <v>11</v>
      </c>
      <c r="AA140" s="8">
        <v>0.5</v>
      </c>
      <c r="AB140" s="8">
        <v>5</v>
      </c>
      <c r="AC140" s="8">
        <v>179</v>
      </c>
      <c r="AD140" s="8">
        <v>259.55</v>
      </c>
      <c r="AE140" s="8">
        <v>80.55</v>
      </c>
      <c r="AF140" t="s">
        <v>20</v>
      </c>
    </row>
    <row r="141" spans="1:32">
      <c r="A141" t="s">
        <v>465</v>
      </c>
      <c r="B141" s="10">
        <v>46230</v>
      </c>
      <c r="C141">
        <v>31</v>
      </c>
      <c r="D141" t="s">
        <v>191</v>
      </c>
      <c r="E141" t="s">
        <v>466</v>
      </c>
      <c r="F141" t="s">
        <v>128</v>
      </c>
      <c r="G141" t="s">
        <v>101</v>
      </c>
      <c r="H141" t="s">
        <v>131</v>
      </c>
      <c r="I141">
        <v>20000</v>
      </c>
      <c r="J141" t="s">
        <v>107</v>
      </c>
      <c r="K141" s="7">
        <v>5.16</v>
      </c>
      <c r="L141" s="11">
        <v>0.82</v>
      </c>
      <c r="M141" s="7">
        <v>6.29</v>
      </c>
      <c r="N141" t="s">
        <v>55</v>
      </c>
      <c r="O141" t="s">
        <v>56</v>
      </c>
      <c r="P141" t="s">
        <v>66</v>
      </c>
      <c r="Q141" t="s">
        <v>67</v>
      </c>
      <c r="R141" t="s">
        <v>169</v>
      </c>
      <c r="S141" s="12">
        <v>46230.6458333333</v>
      </c>
      <c r="T141" s="12">
        <v>46230.9079166667</v>
      </c>
      <c r="U141" s="12">
        <v>46230.9808333333</v>
      </c>
      <c r="V141" t="s">
        <v>165</v>
      </c>
      <c r="W141" s="7">
        <v>3.29</v>
      </c>
      <c r="X141" s="7">
        <v>3</v>
      </c>
      <c r="Y141" s="8">
        <v>157.25</v>
      </c>
      <c r="Z141" s="8">
        <v>11</v>
      </c>
      <c r="AA141" s="8">
        <v>0.5</v>
      </c>
      <c r="AB141" s="8">
        <v>5</v>
      </c>
      <c r="AC141" s="8">
        <v>173.75</v>
      </c>
      <c r="AD141" s="8">
        <v>251.94</v>
      </c>
      <c r="AE141" s="8">
        <v>78.19</v>
      </c>
      <c r="AF141" t="s">
        <v>20</v>
      </c>
    </row>
    <row r="142" spans="1:32">
      <c r="A142" t="s">
        <v>467</v>
      </c>
      <c r="B142" s="10">
        <v>46219</v>
      </c>
      <c r="C142">
        <v>29</v>
      </c>
      <c r="D142" t="s">
        <v>227</v>
      </c>
      <c r="E142" t="s">
        <v>468</v>
      </c>
      <c r="F142" t="s">
        <v>128</v>
      </c>
      <c r="G142" t="s">
        <v>102</v>
      </c>
      <c r="H142" t="s">
        <v>131</v>
      </c>
      <c r="I142">
        <v>80000</v>
      </c>
      <c r="J142" t="s">
        <v>119</v>
      </c>
      <c r="K142" s="7">
        <v>6.11</v>
      </c>
      <c r="L142" s="11">
        <v>0.82</v>
      </c>
      <c r="M142" s="7">
        <v>7.45</v>
      </c>
      <c r="N142" t="s">
        <v>57</v>
      </c>
      <c r="O142" t="s">
        <v>58</v>
      </c>
      <c r="P142" t="s">
        <v>63</v>
      </c>
      <c r="Q142" t="s">
        <v>64</v>
      </c>
      <c r="R142" t="s">
        <v>174</v>
      </c>
      <c r="S142" s="12">
        <v>46219.3333333333</v>
      </c>
      <c r="T142" s="12">
        <v>46219.6854166667</v>
      </c>
      <c r="U142" s="12">
        <v>46219.7583333333</v>
      </c>
      <c r="V142" t="s">
        <v>165</v>
      </c>
      <c r="W142" s="7">
        <v>7.45</v>
      </c>
      <c r="X142" s="7">
        <v>0</v>
      </c>
      <c r="Y142" s="8">
        <v>186.25</v>
      </c>
      <c r="Z142" s="8">
        <v>11</v>
      </c>
      <c r="AA142" s="8">
        <v>0.5</v>
      </c>
      <c r="AB142" s="8">
        <v>5</v>
      </c>
      <c r="AC142" s="8">
        <v>202.75</v>
      </c>
      <c r="AD142" s="8">
        <v>293.99</v>
      </c>
      <c r="AE142" s="8">
        <v>91.24</v>
      </c>
      <c r="AF142" t="s">
        <v>20</v>
      </c>
    </row>
    <row r="143" spans="1:32">
      <c r="A143" t="s">
        <v>469</v>
      </c>
      <c r="B143" s="10">
        <v>46223</v>
      </c>
      <c r="C143">
        <v>30</v>
      </c>
      <c r="D143" t="s">
        <v>227</v>
      </c>
      <c r="E143" t="s">
        <v>470</v>
      </c>
      <c r="F143" t="s">
        <v>128</v>
      </c>
      <c r="G143" t="s">
        <v>78</v>
      </c>
      <c r="H143" t="s">
        <v>127</v>
      </c>
      <c r="I143">
        <v>70000</v>
      </c>
      <c r="J143" t="s">
        <v>117</v>
      </c>
      <c r="K143" s="7">
        <v>3.03</v>
      </c>
      <c r="L143" s="11">
        <v>0.82</v>
      </c>
      <c r="M143" s="7">
        <v>3.7</v>
      </c>
      <c r="N143" t="s">
        <v>55</v>
      </c>
      <c r="O143" t="s">
        <v>56</v>
      </c>
      <c r="P143" t="s">
        <v>63</v>
      </c>
      <c r="Q143" t="s">
        <v>64</v>
      </c>
      <c r="R143" t="s">
        <v>178</v>
      </c>
      <c r="S143" s="12">
        <v>46223.4166666667</v>
      </c>
      <c r="T143" s="12">
        <v>46223.6125</v>
      </c>
      <c r="U143" s="12">
        <v>46223.6854166667</v>
      </c>
      <c r="V143" t="s">
        <v>165</v>
      </c>
      <c r="W143" s="7">
        <v>3.7</v>
      </c>
      <c r="X143" s="7">
        <v>0</v>
      </c>
      <c r="Y143" s="8">
        <v>92.5</v>
      </c>
      <c r="Z143" s="8">
        <v>11</v>
      </c>
      <c r="AA143" s="8">
        <v>0.5</v>
      </c>
      <c r="AB143" s="8">
        <v>5</v>
      </c>
      <c r="AC143" s="8">
        <v>109</v>
      </c>
      <c r="AD143" s="8">
        <v>158.05</v>
      </c>
      <c r="AE143" s="8">
        <v>49.05</v>
      </c>
      <c r="AF143" t="s">
        <v>20</v>
      </c>
    </row>
    <row r="144" spans="1:32">
      <c r="A144" t="s">
        <v>471</v>
      </c>
      <c r="B144" s="10">
        <v>46223</v>
      </c>
      <c r="C144">
        <v>30</v>
      </c>
      <c r="D144" t="s">
        <v>297</v>
      </c>
      <c r="E144" t="s">
        <v>472</v>
      </c>
      <c r="F144" t="s">
        <v>128</v>
      </c>
      <c r="G144" t="s">
        <v>75</v>
      </c>
      <c r="H144" t="s">
        <v>127</v>
      </c>
      <c r="I144">
        <v>20000</v>
      </c>
      <c r="J144" t="s">
        <v>107</v>
      </c>
      <c r="K144" s="7">
        <v>4.63</v>
      </c>
      <c r="L144" s="11">
        <v>0.82</v>
      </c>
      <c r="M144" s="7">
        <v>5.65</v>
      </c>
      <c r="N144" t="s">
        <v>59</v>
      </c>
      <c r="O144" t="s">
        <v>60</v>
      </c>
      <c r="P144" t="s">
        <v>66</v>
      </c>
      <c r="Q144" t="s">
        <v>67</v>
      </c>
      <c r="R144" t="s">
        <v>181</v>
      </c>
      <c r="S144" s="12">
        <v>46223.5833333333</v>
      </c>
      <c r="T144" s="12">
        <v>46223.81875</v>
      </c>
      <c r="U144" s="12">
        <v>46223.8916666667</v>
      </c>
      <c r="V144" t="s">
        <v>165</v>
      </c>
      <c r="W144" s="7">
        <v>3.5</v>
      </c>
      <c r="X144" s="7">
        <v>2.15</v>
      </c>
      <c r="Y144" s="8">
        <v>141.25</v>
      </c>
      <c r="Z144" s="8">
        <v>11</v>
      </c>
      <c r="AA144" s="8">
        <v>0.5</v>
      </c>
      <c r="AB144" s="8">
        <v>5</v>
      </c>
      <c r="AC144" s="8">
        <v>157.75</v>
      </c>
      <c r="AD144" s="8">
        <v>228.74</v>
      </c>
      <c r="AE144" s="8">
        <v>70.99</v>
      </c>
      <c r="AF144" t="s">
        <v>20</v>
      </c>
    </row>
    <row r="145" spans="1:32">
      <c r="A145" t="s">
        <v>473</v>
      </c>
      <c r="B145" s="10">
        <v>46225</v>
      </c>
      <c r="C145">
        <v>30</v>
      </c>
      <c r="D145" t="s">
        <v>191</v>
      </c>
      <c r="E145" t="s">
        <v>474</v>
      </c>
      <c r="F145" t="s">
        <v>128</v>
      </c>
      <c r="G145" t="s">
        <v>85</v>
      </c>
      <c r="H145" t="s">
        <v>130</v>
      </c>
      <c r="I145">
        <v>65000</v>
      </c>
      <c r="J145" t="s">
        <v>116</v>
      </c>
      <c r="K145" s="7">
        <v>0.5</v>
      </c>
      <c r="L145" s="11">
        <v>0.82</v>
      </c>
      <c r="M145" s="7">
        <v>0.61</v>
      </c>
      <c r="N145" t="s">
        <v>57</v>
      </c>
      <c r="O145" t="s">
        <v>58</v>
      </c>
      <c r="P145" t="s">
        <v>66</v>
      </c>
      <c r="Q145" t="s">
        <v>67</v>
      </c>
      <c r="R145" t="s">
        <v>184</v>
      </c>
      <c r="S145" s="12">
        <v>46225.6458333333</v>
      </c>
      <c r="T145" s="12">
        <v>46225.67125</v>
      </c>
      <c r="U145" s="12">
        <v>46225.7441666667</v>
      </c>
      <c r="V145" t="s">
        <v>165</v>
      </c>
      <c r="W145" s="7">
        <v>0.61</v>
      </c>
      <c r="X145" s="7">
        <v>0</v>
      </c>
      <c r="Y145" s="8">
        <v>15.25</v>
      </c>
      <c r="Z145" s="8">
        <v>11</v>
      </c>
      <c r="AA145" s="8">
        <v>0.5</v>
      </c>
      <c r="AB145" s="8">
        <v>5</v>
      </c>
      <c r="AC145" s="8">
        <v>31.75</v>
      </c>
      <c r="AD145" s="8">
        <v>46.04</v>
      </c>
      <c r="AE145" s="8">
        <v>14.29</v>
      </c>
      <c r="AF145" t="s">
        <v>20</v>
      </c>
    </row>
    <row r="146" spans="1:32">
      <c r="A146" t="s">
        <v>475</v>
      </c>
      <c r="B146" s="10">
        <v>46230</v>
      </c>
      <c r="C146">
        <v>31</v>
      </c>
      <c r="D146" t="s">
        <v>199</v>
      </c>
      <c r="E146" t="s">
        <v>476</v>
      </c>
      <c r="F146" t="s">
        <v>128</v>
      </c>
      <c r="G146" t="s">
        <v>90</v>
      </c>
      <c r="H146" t="s">
        <v>130</v>
      </c>
      <c r="I146">
        <v>80000</v>
      </c>
      <c r="J146" t="s">
        <v>119</v>
      </c>
      <c r="K146" s="7">
        <v>3.89</v>
      </c>
      <c r="L146" s="11">
        <v>0.82</v>
      </c>
      <c r="M146" s="7">
        <v>4.74</v>
      </c>
      <c r="N146" t="s">
        <v>57</v>
      </c>
      <c r="O146" t="s">
        <v>58</v>
      </c>
      <c r="P146" t="s">
        <v>63</v>
      </c>
      <c r="Q146" t="s">
        <v>64</v>
      </c>
      <c r="R146" t="s">
        <v>164</v>
      </c>
      <c r="S146" s="12">
        <v>46230.3333333333</v>
      </c>
      <c r="T146" s="12">
        <v>46230.5308333333</v>
      </c>
      <c r="U146" s="12">
        <v>46230.7291666667</v>
      </c>
      <c r="V146" t="s">
        <v>319</v>
      </c>
      <c r="W146" s="7">
        <v>4.74</v>
      </c>
      <c r="X146" s="7">
        <v>0</v>
      </c>
      <c r="Y146" s="8">
        <v>118.5</v>
      </c>
      <c r="Z146" s="8">
        <v>11</v>
      </c>
      <c r="AA146" s="8">
        <v>0.5</v>
      </c>
      <c r="AB146" s="8">
        <v>5</v>
      </c>
      <c r="AC146" s="8">
        <v>135</v>
      </c>
      <c r="AD146" s="8">
        <v>195.75</v>
      </c>
      <c r="AE146" s="8">
        <v>60.75</v>
      </c>
      <c r="AF146" t="s">
        <v>320</v>
      </c>
    </row>
    <row r="147" spans="1:32">
      <c r="A147" t="s">
        <v>477</v>
      </c>
      <c r="B147" s="10">
        <v>46223</v>
      </c>
      <c r="C147">
        <v>30</v>
      </c>
      <c r="D147" t="s">
        <v>172</v>
      </c>
      <c r="E147" t="s">
        <v>478</v>
      </c>
      <c r="F147" t="s">
        <v>128</v>
      </c>
      <c r="G147" t="s">
        <v>101</v>
      </c>
      <c r="H147" t="s">
        <v>131</v>
      </c>
      <c r="I147">
        <v>10000</v>
      </c>
      <c r="J147" t="s">
        <v>105</v>
      </c>
      <c r="K147" s="7">
        <v>3.16</v>
      </c>
      <c r="L147" s="11">
        <v>0.82</v>
      </c>
      <c r="M147" s="7">
        <v>3.85</v>
      </c>
      <c r="N147" t="s">
        <v>53</v>
      </c>
      <c r="O147" t="s">
        <v>54</v>
      </c>
      <c r="P147" t="s">
        <v>63</v>
      </c>
      <c r="Q147" t="s">
        <v>64</v>
      </c>
      <c r="R147" t="s">
        <v>169</v>
      </c>
      <c r="S147" s="12">
        <v>46223.4166666667</v>
      </c>
      <c r="T147" s="12">
        <v>46223.61875</v>
      </c>
      <c r="U147" s="12">
        <v>46223.6916666667</v>
      </c>
      <c r="V147" t="s">
        <v>165</v>
      </c>
      <c r="W147" s="7">
        <v>3.85</v>
      </c>
      <c r="X147" s="7">
        <v>0</v>
      </c>
      <c r="Y147" s="8">
        <v>96.25</v>
      </c>
      <c r="Z147" s="8">
        <v>11</v>
      </c>
      <c r="AA147" s="8">
        <v>0.5</v>
      </c>
      <c r="AB147" s="8">
        <v>5</v>
      </c>
      <c r="AC147" s="8">
        <v>112.75</v>
      </c>
      <c r="AD147" s="8">
        <v>163.49</v>
      </c>
      <c r="AE147" s="8">
        <v>50.74</v>
      </c>
      <c r="AF147" t="s">
        <v>20</v>
      </c>
    </row>
    <row r="148" spans="1:32">
      <c r="A148" t="s">
        <v>479</v>
      </c>
      <c r="B148" s="10">
        <v>46225</v>
      </c>
      <c r="C148">
        <v>30</v>
      </c>
      <c r="D148" t="s">
        <v>162</v>
      </c>
      <c r="E148" t="s">
        <v>480</v>
      </c>
      <c r="F148" t="s">
        <v>128</v>
      </c>
      <c r="G148" t="s">
        <v>85</v>
      </c>
      <c r="H148" t="s">
        <v>130</v>
      </c>
      <c r="I148">
        <v>85000</v>
      </c>
      <c r="J148" t="s">
        <v>120</v>
      </c>
      <c r="K148" s="7">
        <v>0.5</v>
      </c>
      <c r="L148" s="11">
        <v>0.82</v>
      </c>
      <c r="M148" s="7">
        <v>0.61</v>
      </c>
      <c r="N148" t="s">
        <v>61</v>
      </c>
      <c r="O148" t="s">
        <v>62</v>
      </c>
      <c r="P148" t="s">
        <v>63</v>
      </c>
      <c r="Q148" t="s">
        <v>64</v>
      </c>
      <c r="R148" t="s">
        <v>174</v>
      </c>
      <c r="S148" s="12">
        <v>46225.5833333333</v>
      </c>
      <c r="T148" s="12">
        <v>46225.60875</v>
      </c>
      <c r="U148" s="12">
        <v>46225.6816666667</v>
      </c>
      <c r="V148" t="s">
        <v>170</v>
      </c>
      <c r="W148" s="7">
        <v>0.61</v>
      </c>
      <c r="X148" s="7">
        <v>0</v>
      </c>
      <c r="Y148" s="8">
        <v>15.25</v>
      </c>
      <c r="Z148" s="8">
        <v>11</v>
      </c>
      <c r="AA148" s="8">
        <v>0.5</v>
      </c>
      <c r="AB148" s="8">
        <v>5</v>
      </c>
      <c r="AC148" s="8">
        <v>31.75</v>
      </c>
      <c r="AD148" s="8">
        <v>46.04</v>
      </c>
      <c r="AE148" s="8">
        <v>14.29</v>
      </c>
      <c r="AF148" t="s">
        <v>20</v>
      </c>
    </row>
    <row r="149" spans="1:32">
      <c r="A149" t="s">
        <v>481</v>
      </c>
      <c r="B149" s="10">
        <v>46223</v>
      </c>
      <c r="C149">
        <v>30</v>
      </c>
      <c r="D149" t="s">
        <v>297</v>
      </c>
      <c r="E149" t="s">
        <v>482</v>
      </c>
      <c r="F149" t="s">
        <v>128</v>
      </c>
      <c r="G149" t="s">
        <v>97</v>
      </c>
      <c r="H149" t="s">
        <v>130</v>
      </c>
      <c r="I149">
        <v>40000</v>
      </c>
      <c r="J149" t="s">
        <v>111</v>
      </c>
      <c r="K149" s="7">
        <v>5.11</v>
      </c>
      <c r="L149" s="11">
        <v>0.82</v>
      </c>
      <c r="M149" s="7">
        <v>6.23</v>
      </c>
      <c r="N149" t="s">
        <v>61</v>
      </c>
      <c r="O149" t="s">
        <v>62</v>
      </c>
      <c r="P149" t="s">
        <v>66</v>
      </c>
      <c r="Q149" t="s">
        <v>67</v>
      </c>
      <c r="R149" t="s">
        <v>178</v>
      </c>
      <c r="S149" s="12">
        <v>46223.6458333333</v>
      </c>
      <c r="T149" s="12">
        <v>46223.9054166667</v>
      </c>
      <c r="U149" s="12">
        <v>46223.9783333333</v>
      </c>
      <c r="V149" t="s">
        <v>6</v>
      </c>
      <c r="W149" s="7">
        <v>3.23</v>
      </c>
      <c r="X149" s="7">
        <v>3</v>
      </c>
      <c r="Y149" s="8">
        <v>155.75</v>
      </c>
      <c r="Z149" s="8">
        <v>11</v>
      </c>
      <c r="AA149" s="8">
        <v>0.5</v>
      </c>
      <c r="AB149" s="8">
        <v>5</v>
      </c>
      <c r="AC149" s="8">
        <v>172.25</v>
      </c>
      <c r="AD149" s="8">
        <v>249.76</v>
      </c>
      <c r="AE149" s="8">
        <v>77.51</v>
      </c>
      <c r="AF149" t="s">
        <v>20</v>
      </c>
    </row>
    <row r="150" spans="1:32">
      <c r="A150" t="s">
        <v>483</v>
      </c>
      <c r="B150" s="10">
        <v>46224</v>
      </c>
      <c r="C150">
        <v>30</v>
      </c>
      <c r="D150" t="s">
        <v>194</v>
      </c>
      <c r="E150" t="s">
        <v>484</v>
      </c>
      <c r="F150" t="s">
        <v>128</v>
      </c>
      <c r="G150" t="s">
        <v>77</v>
      </c>
      <c r="H150" t="s">
        <v>127</v>
      </c>
      <c r="I150">
        <v>10000</v>
      </c>
      <c r="J150" t="s">
        <v>105</v>
      </c>
      <c r="K150" s="7">
        <v>3.03</v>
      </c>
      <c r="L150" s="11">
        <v>0.82</v>
      </c>
      <c r="M150" s="7">
        <v>3.7</v>
      </c>
      <c r="N150" t="s">
        <v>57</v>
      </c>
      <c r="O150" t="s">
        <v>58</v>
      </c>
      <c r="P150" t="s">
        <v>66</v>
      </c>
      <c r="Q150" t="s">
        <v>67</v>
      </c>
      <c r="R150" t="s">
        <v>181</v>
      </c>
      <c r="S150" s="12">
        <v>46224.3333333333</v>
      </c>
      <c r="T150" s="12">
        <v>46224.4875</v>
      </c>
      <c r="U150" s="12">
        <v>46224.5604166667</v>
      </c>
      <c r="V150" t="s">
        <v>170</v>
      </c>
      <c r="W150" s="7">
        <v>3.7</v>
      </c>
      <c r="X150" s="7">
        <v>0</v>
      </c>
      <c r="Y150" s="8">
        <v>92.5</v>
      </c>
      <c r="Z150" s="8">
        <v>11</v>
      </c>
      <c r="AA150" s="8">
        <v>0.5</v>
      </c>
      <c r="AB150" s="8">
        <v>5</v>
      </c>
      <c r="AC150" s="8">
        <v>109</v>
      </c>
      <c r="AD150" s="8">
        <v>158.05</v>
      </c>
      <c r="AE150" s="8">
        <v>49.05</v>
      </c>
      <c r="AF150" t="s">
        <v>20</v>
      </c>
    </row>
    <row r="151" spans="1:32">
      <c r="A151" t="s">
        <v>485</v>
      </c>
      <c r="B151" s="10">
        <v>46227</v>
      </c>
      <c r="C151">
        <v>30</v>
      </c>
      <c r="D151" t="s">
        <v>162</v>
      </c>
      <c r="E151" t="s">
        <v>486</v>
      </c>
      <c r="F151" t="s">
        <v>128</v>
      </c>
      <c r="G151" t="s">
        <v>97</v>
      </c>
      <c r="H151" t="s">
        <v>130</v>
      </c>
      <c r="I151">
        <v>25000</v>
      </c>
      <c r="J151" t="s">
        <v>108</v>
      </c>
      <c r="K151" s="7">
        <v>1.35</v>
      </c>
      <c r="L151" s="11">
        <v>0.82</v>
      </c>
      <c r="M151" s="7">
        <v>1.65</v>
      </c>
      <c r="N151" t="s">
        <v>57</v>
      </c>
      <c r="O151" t="s">
        <v>58</v>
      </c>
      <c r="P151" t="s">
        <v>63</v>
      </c>
      <c r="Q151" t="s">
        <v>64</v>
      </c>
      <c r="R151" t="s">
        <v>184</v>
      </c>
      <c r="S151" s="12">
        <v>46227.4166666667</v>
      </c>
      <c r="T151" s="12">
        <v>46227.4854166667</v>
      </c>
      <c r="U151" s="12">
        <v>46227.5583333333</v>
      </c>
      <c r="V151" t="s">
        <v>165</v>
      </c>
      <c r="W151" s="7">
        <v>1.65</v>
      </c>
      <c r="X151" s="7">
        <v>0</v>
      </c>
      <c r="Y151" s="8">
        <v>41.25</v>
      </c>
      <c r="Z151" s="8">
        <v>11</v>
      </c>
      <c r="AA151" s="8">
        <v>0.5</v>
      </c>
      <c r="AB151" s="8">
        <v>5</v>
      </c>
      <c r="AC151" s="8">
        <v>57.75</v>
      </c>
      <c r="AD151" s="8">
        <v>83.74</v>
      </c>
      <c r="AE151" s="8">
        <v>25.99</v>
      </c>
      <c r="AF151" t="s">
        <v>20</v>
      </c>
    </row>
    <row r="152" spans="1:32">
      <c r="A152" t="s">
        <v>487</v>
      </c>
      <c r="B152" s="10">
        <v>46223</v>
      </c>
      <c r="C152">
        <v>30</v>
      </c>
      <c r="D152" t="s">
        <v>162</v>
      </c>
      <c r="E152" t="s">
        <v>488</v>
      </c>
      <c r="F152" t="s">
        <v>128</v>
      </c>
      <c r="G152" t="s">
        <v>96</v>
      </c>
      <c r="H152" t="s">
        <v>130</v>
      </c>
      <c r="I152">
        <v>1500</v>
      </c>
      <c r="J152" t="s">
        <v>103</v>
      </c>
      <c r="K152" s="7">
        <v>0.6</v>
      </c>
      <c r="L152" s="11">
        <v>0.82</v>
      </c>
      <c r="M152" s="7">
        <v>0.73</v>
      </c>
      <c r="N152" t="s">
        <v>50</v>
      </c>
      <c r="O152" t="s">
        <v>51</v>
      </c>
      <c r="P152" t="s">
        <v>63</v>
      </c>
      <c r="Q152" t="s">
        <v>64</v>
      </c>
      <c r="R152" t="s">
        <v>164</v>
      </c>
      <c r="S152" s="12">
        <v>46223.5833333333</v>
      </c>
      <c r="T152" s="12">
        <v>46223.61375</v>
      </c>
      <c r="U152" s="12">
        <v>46223.6866666667</v>
      </c>
      <c r="V152" t="s">
        <v>170</v>
      </c>
      <c r="W152" s="7">
        <v>0.73</v>
      </c>
      <c r="X152" s="7">
        <v>0</v>
      </c>
      <c r="Y152" s="8">
        <v>18.25</v>
      </c>
      <c r="Z152" s="8">
        <v>11</v>
      </c>
      <c r="AA152" s="8">
        <v>0.5</v>
      </c>
      <c r="AB152" s="8">
        <v>5</v>
      </c>
      <c r="AC152" s="8">
        <v>34.75</v>
      </c>
      <c r="AD152" s="8">
        <v>50.39</v>
      </c>
      <c r="AE152" s="8">
        <v>15.64</v>
      </c>
      <c r="AF152" t="s">
        <v>20</v>
      </c>
    </row>
    <row r="153" spans="1:32">
      <c r="A153" t="s">
        <v>489</v>
      </c>
      <c r="B153" s="10">
        <v>46219</v>
      </c>
      <c r="C153">
        <v>29</v>
      </c>
      <c r="D153" t="s">
        <v>207</v>
      </c>
      <c r="E153" t="s">
        <v>490</v>
      </c>
      <c r="F153" t="s">
        <v>128</v>
      </c>
      <c r="G153" t="s">
        <v>91</v>
      </c>
      <c r="H153" t="s">
        <v>130</v>
      </c>
      <c r="I153">
        <v>5000</v>
      </c>
      <c r="J153" t="s">
        <v>104</v>
      </c>
      <c r="K153" s="7">
        <v>0.5</v>
      </c>
      <c r="L153" s="11">
        <v>0.82</v>
      </c>
      <c r="M153" s="7">
        <v>0.61</v>
      </c>
      <c r="N153" t="s">
        <v>50</v>
      </c>
      <c r="O153" t="s">
        <v>51</v>
      </c>
      <c r="P153" t="s">
        <v>66</v>
      </c>
      <c r="Q153" t="s">
        <v>67</v>
      </c>
      <c r="R153" t="s">
        <v>169</v>
      </c>
      <c r="S153" s="12">
        <v>46219.6458333333</v>
      </c>
      <c r="T153" s="12">
        <v>46219.67125</v>
      </c>
      <c r="U153" s="12">
        <v>46219.7441666667</v>
      </c>
      <c r="V153" t="s">
        <v>170</v>
      </c>
      <c r="W153" s="7">
        <v>0.61</v>
      </c>
      <c r="X153" s="7">
        <v>0</v>
      </c>
      <c r="Y153" s="8">
        <v>15.25</v>
      </c>
      <c r="Z153" s="8">
        <v>11</v>
      </c>
      <c r="AA153" s="8">
        <v>0.5</v>
      </c>
      <c r="AB153" s="8">
        <v>5</v>
      </c>
      <c r="AC153" s="8">
        <v>31.75</v>
      </c>
      <c r="AD153" s="8">
        <v>46.04</v>
      </c>
      <c r="AE153" s="8">
        <v>14.29</v>
      </c>
      <c r="AF153" t="s">
        <v>20</v>
      </c>
    </row>
    <row r="154" spans="1:32">
      <c r="A154" t="s">
        <v>491</v>
      </c>
      <c r="B154" s="10">
        <v>46224</v>
      </c>
      <c r="C154">
        <v>30</v>
      </c>
      <c r="D154" t="s">
        <v>297</v>
      </c>
      <c r="E154" t="s">
        <v>492</v>
      </c>
      <c r="F154" t="s">
        <v>128</v>
      </c>
      <c r="G154" t="s">
        <v>99</v>
      </c>
      <c r="H154" t="s">
        <v>130</v>
      </c>
      <c r="I154">
        <v>35000</v>
      </c>
      <c r="J154" t="s">
        <v>110</v>
      </c>
      <c r="K154" s="7">
        <v>0.5</v>
      </c>
      <c r="L154" s="11">
        <v>0.82</v>
      </c>
      <c r="M154" s="7">
        <v>0.61</v>
      </c>
      <c r="N154" t="s">
        <v>61</v>
      </c>
      <c r="O154" t="s">
        <v>62</v>
      </c>
      <c r="P154" t="s">
        <v>63</v>
      </c>
      <c r="Q154" t="s">
        <v>64</v>
      </c>
      <c r="R154" t="s">
        <v>174</v>
      </c>
      <c r="S154" s="12">
        <v>46224.3333333333</v>
      </c>
      <c r="T154" s="12">
        <v>46224.35875</v>
      </c>
      <c r="U154" s="12">
        <v>46224.4316666667</v>
      </c>
      <c r="V154" t="s">
        <v>165</v>
      </c>
      <c r="W154" s="7">
        <v>0.61</v>
      </c>
      <c r="X154" s="7">
        <v>0</v>
      </c>
      <c r="Y154" s="8">
        <v>15.25</v>
      </c>
      <c r="Z154" s="8">
        <v>11</v>
      </c>
      <c r="AA154" s="8">
        <v>0.5</v>
      </c>
      <c r="AB154" s="8">
        <v>5</v>
      </c>
      <c r="AC154" s="8">
        <v>31.75</v>
      </c>
      <c r="AD154" s="8">
        <v>46.04</v>
      </c>
      <c r="AE154" s="8">
        <v>14.29</v>
      </c>
      <c r="AF154" t="s">
        <v>20</v>
      </c>
    </row>
    <row r="155" spans="1:32">
      <c r="A155" t="s">
        <v>493</v>
      </c>
      <c r="B155" s="10">
        <v>46216</v>
      </c>
      <c r="C155">
        <v>29</v>
      </c>
      <c r="D155" t="s">
        <v>207</v>
      </c>
      <c r="E155" t="s">
        <v>494</v>
      </c>
      <c r="F155" t="s">
        <v>128</v>
      </c>
      <c r="G155" t="s">
        <v>83</v>
      </c>
      <c r="H155" t="s">
        <v>130</v>
      </c>
      <c r="I155">
        <v>45000</v>
      </c>
      <c r="J155" t="s">
        <v>112</v>
      </c>
      <c r="K155" s="7">
        <v>0.7</v>
      </c>
      <c r="L155" s="11">
        <v>0.82</v>
      </c>
      <c r="M155" s="7">
        <v>0.85</v>
      </c>
      <c r="N155" t="s">
        <v>57</v>
      </c>
      <c r="O155" t="s">
        <v>58</v>
      </c>
      <c r="P155" t="s">
        <v>66</v>
      </c>
      <c r="Q155" t="s">
        <v>67</v>
      </c>
      <c r="R155" t="s">
        <v>178</v>
      </c>
      <c r="S155" s="12">
        <v>46216.4166666667</v>
      </c>
      <c r="T155" s="12">
        <v>46216.4520833333</v>
      </c>
      <c r="U155" s="12">
        <v>46216.525</v>
      </c>
      <c r="V155" t="s">
        <v>170</v>
      </c>
      <c r="W155" s="7">
        <v>0.85</v>
      </c>
      <c r="X155" s="7">
        <v>0</v>
      </c>
      <c r="Y155" s="8">
        <v>21.25</v>
      </c>
      <c r="Z155" s="8">
        <v>11</v>
      </c>
      <c r="AA155" s="8">
        <v>0.5</v>
      </c>
      <c r="AB155" s="8">
        <v>5</v>
      </c>
      <c r="AC155" s="8">
        <v>37.75</v>
      </c>
      <c r="AD155" s="8">
        <v>54.74</v>
      </c>
      <c r="AE155" s="8">
        <v>16.99</v>
      </c>
      <c r="AF155" t="s">
        <v>20</v>
      </c>
    </row>
    <row r="156" spans="1:32">
      <c r="A156" t="s">
        <v>495</v>
      </c>
      <c r="B156" s="10">
        <v>46218</v>
      </c>
      <c r="C156">
        <v>29</v>
      </c>
      <c r="D156" t="s">
        <v>221</v>
      </c>
      <c r="E156" t="s">
        <v>496</v>
      </c>
      <c r="F156" t="s">
        <v>128</v>
      </c>
      <c r="G156" t="s">
        <v>75</v>
      </c>
      <c r="H156" t="s">
        <v>127</v>
      </c>
      <c r="I156">
        <v>10000</v>
      </c>
      <c r="J156" t="s">
        <v>105</v>
      </c>
      <c r="K156" s="7">
        <v>3.13</v>
      </c>
      <c r="L156" s="11">
        <v>0.82</v>
      </c>
      <c r="M156" s="7">
        <v>3.82</v>
      </c>
      <c r="N156" t="s">
        <v>55</v>
      </c>
      <c r="O156" t="s">
        <v>56</v>
      </c>
      <c r="P156" t="s">
        <v>63</v>
      </c>
      <c r="Q156" t="s">
        <v>64</v>
      </c>
      <c r="R156" t="s">
        <v>181</v>
      </c>
      <c r="S156" s="12">
        <v>46218.5833333333</v>
      </c>
      <c r="T156" s="12">
        <v>46218.7425</v>
      </c>
      <c r="U156" s="12">
        <v>46218.8154166667</v>
      </c>
      <c r="V156" t="s">
        <v>165</v>
      </c>
      <c r="W156" s="7">
        <v>3.5</v>
      </c>
      <c r="X156" s="7">
        <v>0.32</v>
      </c>
      <c r="Y156" s="8">
        <v>95.5</v>
      </c>
      <c r="Z156" s="8">
        <v>11</v>
      </c>
      <c r="AA156" s="8">
        <v>0.5</v>
      </c>
      <c r="AB156" s="8">
        <v>5</v>
      </c>
      <c r="AC156" s="8">
        <v>112</v>
      </c>
      <c r="AD156" s="8">
        <v>162.4</v>
      </c>
      <c r="AE156" s="8">
        <v>50.4</v>
      </c>
      <c r="AF156" t="s">
        <v>20</v>
      </c>
    </row>
    <row r="157" spans="1:32">
      <c r="A157" t="s">
        <v>497</v>
      </c>
      <c r="B157" s="10">
        <v>46219</v>
      </c>
      <c r="C157">
        <v>29</v>
      </c>
      <c r="D157" t="s">
        <v>191</v>
      </c>
      <c r="E157" t="s">
        <v>498</v>
      </c>
      <c r="F157" t="s">
        <v>128</v>
      </c>
      <c r="G157" t="s">
        <v>96</v>
      </c>
      <c r="H157" t="s">
        <v>130</v>
      </c>
      <c r="I157">
        <v>75000</v>
      </c>
      <c r="J157" t="s">
        <v>118</v>
      </c>
      <c r="K157" s="7">
        <v>1.55</v>
      </c>
      <c r="L157" s="11">
        <v>0.82</v>
      </c>
      <c r="M157" s="7">
        <v>1.89</v>
      </c>
      <c r="N157" t="s">
        <v>50</v>
      </c>
      <c r="O157" t="s">
        <v>51</v>
      </c>
      <c r="P157" t="s">
        <v>63</v>
      </c>
      <c r="Q157" t="s">
        <v>64</v>
      </c>
      <c r="R157" t="s">
        <v>184</v>
      </c>
      <c r="S157" s="12">
        <v>46219.6458333333</v>
      </c>
      <c r="T157" s="12">
        <v>46219.7245833333</v>
      </c>
      <c r="U157" s="12">
        <v>46219.7975</v>
      </c>
      <c r="V157" t="s">
        <v>6</v>
      </c>
      <c r="W157" s="7">
        <v>1.89</v>
      </c>
      <c r="X157" s="7">
        <v>0</v>
      </c>
      <c r="Y157" s="8">
        <v>47.25</v>
      </c>
      <c r="Z157" s="8">
        <v>11</v>
      </c>
      <c r="AA157" s="8">
        <v>0.5</v>
      </c>
      <c r="AB157" s="8">
        <v>5</v>
      </c>
      <c r="AC157" s="8">
        <v>63.75</v>
      </c>
      <c r="AD157" s="8">
        <v>92.44</v>
      </c>
      <c r="AE157" s="8">
        <v>28.69</v>
      </c>
      <c r="AF157" t="s">
        <v>20</v>
      </c>
    </row>
    <row r="158" spans="1:32">
      <c r="A158" t="s">
        <v>499</v>
      </c>
      <c r="B158" s="10">
        <v>46225</v>
      </c>
      <c r="C158">
        <v>30</v>
      </c>
      <c r="D158" t="s">
        <v>224</v>
      </c>
      <c r="E158" t="s">
        <v>500</v>
      </c>
      <c r="F158" t="s">
        <v>128</v>
      </c>
      <c r="G158" t="s">
        <v>86</v>
      </c>
      <c r="H158" t="s">
        <v>130</v>
      </c>
      <c r="I158">
        <v>75000</v>
      </c>
      <c r="J158" t="s">
        <v>118</v>
      </c>
      <c r="K158" s="7">
        <v>1.5</v>
      </c>
      <c r="L158" s="11">
        <v>0.82</v>
      </c>
      <c r="M158" s="7">
        <v>1.83</v>
      </c>
      <c r="N158" t="s">
        <v>57</v>
      </c>
      <c r="O158" t="s">
        <v>58</v>
      </c>
      <c r="P158" t="s">
        <v>66</v>
      </c>
      <c r="Q158" t="s">
        <v>67</v>
      </c>
      <c r="R158" t="s">
        <v>164</v>
      </c>
      <c r="S158" s="12">
        <v>46225.3333333333</v>
      </c>
      <c r="T158" s="12">
        <v>46225.4095833333</v>
      </c>
      <c r="U158" s="12">
        <v>46225.4825</v>
      </c>
      <c r="V158" t="s">
        <v>201</v>
      </c>
      <c r="W158" s="7">
        <v>1.83</v>
      </c>
      <c r="X158" s="7">
        <v>0</v>
      </c>
      <c r="Y158" s="8">
        <v>45.75</v>
      </c>
      <c r="Z158" s="8">
        <v>11</v>
      </c>
      <c r="AA158" s="8">
        <v>0.5</v>
      </c>
      <c r="AB158" s="8">
        <v>5</v>
      </c>
      <c r="AC158" s="8">
        <v>62.25</v>
      </c>
      <c r="AD158" s="8">
        <v>90.26</v>
      </c>
      <c r="AE158" s="8">
        <v>28.01</v>
      </c>
      <c r="AF158" t="s">
        <v>20</v>
      </c>
    </row>
    <row r="159" spans="1:32">
      <c r="A159" t="s">
        <v>501</v>
      </c>
      <c r="B159" s="10">
        <v>46220</v>
      </c>
      <c r="C159">
        <v>29</v>
      </c>
      <c r="D159" t="s">
        <v>212</v>
      </c>
      <c r="E159" t="s">
        <v>502</v>
      </c>
      <c r="F159" t="s">
        <v>128</v>
      </c>
      <c r="G159" t="s">
        <v>85</v>
      </c>
      <c r="H159" t="s">
        <v>130</v>
      </c>
      <c r="I159">
        <v>70000</v>
      </c>
      <c r="J159" t="s">
        <v>117</v>
      </c>
      <c r="K159" s="7">
        <v>4.06</v>
      </c>
      <c r="L159" s="11">
        <v>0.82</v>
      </c>
      <c r="M159" s="7">
        <v>4.95</v>
      </c>
      <c r="N159" t="s">
        <v>61</v>
      </c>
      <c r="O159" t="s">
        <v>62</v>
      </c>
      <c r="P159" t="s">
        <v>66</v>
      </c>
      <c r="Q159" t="s">
        <v>67</v>
      </c>
      <c r="R159" t="s">
        <v>169</v>
      </c>
      <c r="S159" s="12">
        <v>46220.4166666667</v>
      </c>
      <c r="T159" s="12">
        <v>46220.6645833333</v>
      </c>
      <c r="U159" s="12">
        <v>46220.7375</v>
      </c>
      <c r="V159" t="s">
        <v>165</v>
      </c>
      <c r="W159" s="7">
        <v>4.95</v>
      </c>
      <c r="X159" s="7">
        <v>0</v>
      </c>
      <c r="Y159" s="8">
        <v>123.75</v>
      </c>
      <c r="Z159" s="8">
        <v>11</v>
      </c>
      <c r="AA159" s="8">
        <v>0.5</v>
      </c>
      <c r="AB159" s="8">
        <v>5</v>
      </c>
      <c r="AC159" s="8">
        <v>140.25</v>
      </c>
      <c r="AD159" s="8">
        <v>203.36</v>
      </c>
      <c r="AE159" s="8">
        <v>63.11</v>
      </c>
      <c r="AF159" t="s">
        <v>20</v>
      </c>
    </row>
    <row r="160" spans="1:32">
      <c r="A160" t="s">
        <v>503</v>
      </c>
      <c r="B160" s="10">
        <v>46217</v>
      </c>
      <c r="C160">
        <v>29</v>
      </c>
      <c r="D160" t="s">
        <v>172</v>
      </c>
      <c r="E160" t="s">
        <v>504</v>
      </c>
      <c r="F160" t="s">
        <v>128</v>
      </c>
      <c r="G160" t="s">
        <v>88</v>
      </c>
      <c r="H160" t="s">
        <v>130</v>
      </c>
      <c r="I160">
        <v>85000</v>
      </c>
      <c r="J160" t="s">
        <v>120</v>
      </c>
      <c r="K160" s="7">
        <v>0.5</v>
      </c>
      <c r="L160" s="11">
        <v>0.82</v>
      </c>
      <c r="M160" s="7">
        <v>0.61</v>
      </c>
      <c r="N160" t="s">
        <v>57</v>
      </c>
      <c r="O160" t="s">
        <v>58</v>
      </c>
      <c r="P160" t="s">
        <v>63</v>
      </c>
      <c r="Q160" t="s">
        <v>64</v>
      </c>
      <c r="R160" t="s">
        <v>174</v>
      </c>
      <c r="S160" s="12">
        <v>46217.5833333333</v>
      </c>
      <c r="T160" s="12">
        <v>46217.60875</v>
      </c>
      <c r="U160" s="12">
        <v>46217.6816666667</v>
      </c>
      <c r="V160" t="s">
        <v>201</v>
      </c>
      <c r="W160" s="7">
        <v>0.61</v>
      </c>
      <c r="X160" s="7">
        <v>0</v>
      </c>
      <c r="Y160" s="8">
        <v>15.25</v>
      </c>
      <c r="Z160" s="8">
        <v>11</v>
      </c>
      <c r="AA160" s="8">
        <v>0.5</v>
      </c>
      <c r="AB160" s="8">
        <v>5</v>
      </c>
      <c r="AC160" s="8">
        <v>31.75</v>
      </c>
      <c r="AD160" s="8">
        <v>46.04</v>
      </c>
      <c r="AE160" s="8">
        <v>14.29</v>
      </c>
      <c r="AF160" t="s">
        <v>20</v>
      </c>
    </row>
    <row r="161" spans="1:32">
      <c r="A161" t="s">
        <v>505</v>
      </c>
      <c r="B161" s="10">
        <v>46223</v>
      </c>
      <c r="C161">
        <v>30</v>
      </c>
      <c r="D161" t="s">
        <v>199</v>
      </c>
      <c r="E161" t="s">
        <v>506</v>
      </c>
      <c r="F161" t="s">
        <v>128</v>
      </c>
      <c r="G161" t="s">
        <v>100</v>
      </c>
      <c r="H161" t="s">
        <v>130</v>
      </c>
      <c r="I161">
        <v>15000</v>
      </c>
      <c r="J161" t="s">
        <v>106</v>
      </c>
      <c r="K161" s="7">
        <v>0.85</v>
      </c>
      <c r="L161" s="11">
        <v>0.82</v>
      </c>
      <c r="M161" s="7">
        <v>1.04</v>
      </c>
      <c r="N161" t="s">
        <v>50</v>
      </c>
      <c r="O161" t="s">
        <v>51</v>
      </c>
      <c r="P161" t="s">
        <v>66</v>
      </c>
      <c r="Q161" t="s">
        <v>67</v>
      </c>
      <c r="R161" t="s">
        <v>178</v>
      </c>
      <c r="S161" s="12">
        <v>46223.6458333333</v>
      </c>
      <c r="T161" s="12">
        <v>46223.6891666667</v>
      </c>
      <c r="U161" s="12">
        <v>46223.7620833333</v>
      </c>
      <c r="V161" t="s">
        <v>165</v>
      </c>
      <c r="W161" s="7">
        <v>1.04</v>
      </c>
      <c r="X161" s="7">
        <v>0</v>
      </c>
      <c r="Y161" s="8">
        <v>26</v>
      </c>
      <c r="Z161" s="8">
        <v>11</v>
      </c>
      <c r="AA161" s="8">
        <v>0.5</v>
      </c>
      <c r="AB161" s="8">
        <v>5</v>
      </c>
      <c r="AC161" s="8">
        <v>42.5</v>
      </c>
      <c r="AD161" s="8">
        <v>61.62</v>
      </c>
      <c r="AE161" s="8">
        <v>19.12</v>
      </c>
      <c r="AF161" t="s">
        <v>20</v>
      </c>
    </row>
    <row r="162" spans="1:32">
      <c r="A162" t="s">
        <v>507</v>
      </c>
      <c r="B162" s="10">
        <v>46227</v>
      </c>
      <c r="C162">
        <v>30</v>
      </c>
      <c r="D162" t="s">
        <v>167</v>
      </c>
      <c r="E162" t="s">
        <v>508</v>
      </c>
      <c r="F162" t="s">
        <v>128</v>
      </c>
      <c r="G162" t="s">
        <v>84</v>
      </c>
      <c r="H162" t="s">
        <v>130</v>
      </c>
      <c r="I162">
        <v>50000</v>
      </c>
      <c r="J162" t="s">
        <v>113</v>
      </c>
      <c r="K162" s="7">
        <v>4.76</v>
      </c>
      <c r="L162" s="11">
        <v>0.82</v>
      </c>
      <c r="M162" s="7">
        <v>5.8</v>
      </c>
      <c r="N162" t="s">
        <v>59</v>
      </c>
      <c r="O162" t="s">
        <v>60</v>
      </c>
      <c r="P162" t="s">
        <v>66</v>
      </c>
      <c r="Q162" t="s">
        <v>67</v>
      </c>
      <c r="R162" t="s">
        <v>181</v>
      </c>
      <c r="S162" s="12">
        <v>46227.3333333333</v>
      </c>
      <c r="T162" s="12">
        <v>46227.6166666667</v>
      </c>
      <c r="U162" s="12">
        <v>46227.6895833333</v>
      </c>
      <c r="V162" t="s">
        <v>165</v>
      </c>
      <c r="W162" s="7">
        <v>5.8</v>
      </c>
      <c r="X162" s="7">
        <v>0</v>
      </c>
      <c r="Y162" s="8">
        <v>145</v>
      </c>
      <c r="Z162" s="8">
        <v>11</v>
      </c>
      <c r="AA162" s="8">
        <v>0.5</v>
      </c>
      <c r="AB162" s="8">
        <v>5</v>
      </c>
      <c r="AC162" s="8">
        <v>161.5</v>
      </c>
      <c r="AD162" s="8">
        <v>234.17</v>
      </c>
      <c r="AE162" s="8">
        <v>72.67</v>
      </c>
      <c r="AF162" t="s">
        <v>20</v>
      </c>
    </row>
    <row r="163" spans="1:32">
      <c r="A163" t="s">
        <v>509</v>
      </c>
      <c r="B163" s="10">
        <v>46223</v>
      </c>
      <c r="C163">
        <v>30</v>
      </c>
      <c r="D163" t="s">
        <v>207</v>
      </c>
      <c r="E163" t="s">
        <v>510</v>
      </c>
      <c r="F163" t="s">
        <v>128</v>
      </c>
      <c r="G163" t="s">
        <v>85</v>
      </c>
      <c r="H163" t="s">
        <v>130</v>
      </c>
      <c r="I163">
        <v>90000</v>
      </c>
      <c r="J163" t="s">
        <v>121</v>
      </c>
      <c r="K163" s="7">
        <v>6.76</v>
      </c>
      <c r="L163" s="11">
        <v>0.82</v>
      </c>
      <c r="M163" s="7">
        <v>8.24</v>
      </c>
      <c r="N163" t="s">
        <v>55</v>
      </c>
      <c r="O163" t="s">
        <v>56</v>
      </c>
      <c r="P163" t="s">
        <v>63</v>
      </c>
      <c r="Q163" t="s">
        <v>64</v>
      </c>
      <c r="R163" t="s">
        <v>184</v>
      </c>
      <c r="S163" s="12">
        <v>46223.4166666667</v>
      </c>
      <c r="T163" s="12">
        <v>46223.8016666667</v>
      </c>
      <c r="U163" s="12">
        <v>46223.8745833333</v>
      </c>
      <c r="V163" t="s">
        <v>201</v>
      </c>
      <c r="W163" s="7">
        <v>6.5</v>
      </c>
      <c r="X163" s="7">
        <v>1.74</v>
      </c>
      <c r="Y163" s="8">
        <v>206</v>
      </c>
      <c r="Z163" s="8">
        <v>11</v>
      </c>
      <c r="AA163" s="8">
        <v>0.5</v>
      </c>
      <c r="AB163" s="8">
        <v>5</v>
      </c>
      <c r="AC163" s="8">
        <v>222.5</v>
      </c>
      <c r="AD163" s="8">
        <v>322.62</v>
      </c>
      <c r="AE163" s="8">
        <v>100.12</v>
      </c>
      <c r="AF163" t="s">
        <v>20</v>
      </c>
    </row>
    <row r="164" spans="1:32">
      <c r="A164" t="s">
        <v>511</v>
      </c>
      <c r="B164" s="10">
        <v>46216</v>
      </c>
      <c r="C164">
        <v>29</v>
      </c>
      <c r="D164" t="s">
        <v>224</v>
      </c>
      <c r="E164" t="s">
        <v>512</v>
      </c>
      <c r="F164" t="s">
        <v>128</v>
      </c>
      <c r="G164" t="s">
        <v>94</v>
      </c>
      <c r="H164" t="s">
        <v>130</v>
      </c>
      <c r="I164">
        <v>40000</v>
      </c>
      <c r="J164" t="s">
        <v>111</v>
      </c>
      <c r="K164" s="7">
        <v>3.76</v>
      </c>
      <c r="L164" s="11">
        <v>0.82</v>
      </c>
      <c r="M164" s="7">
        <v>4.59</v>
      </c>
      <c r="N164" t="s">
        <v>50</v>
      </c>
      <c r="O164" t="s">
        <v>51</v>
      </c>
      <c r="P164" t="s">
        <v>63</v>
      </c>
      <c r="Q164" t="s">
        <v>64</v>
      </c>
      <c r="R164" t="s">
        <v>164</v>
      </c>
      <c r="S164" s="12">
        <v>46216.5833333333</v>
      </c>
      <c r="T164" s="12">
        <v>46216.7745833333</v>
      </c>
      <c r="U164" s="12">
        <v>46216.8475</v>
      </c>
      <c r="V164" t="s">
        <v>170</v>
      </c>
      <c r="W164" s="7">
        <v>3.5</v>
      </c>
      <c r="X164" s="7">
        <v>1.09</v>
      </c>
      <c r="Y164" s="8">
        <v>114.75</v>
      </c>
      <c r="Z164" s="8">
        <v>11</v>
      </c>
      <c r="AA164" s="8">
        <v>0.5</v>
      </c>
      <c r="AB164" s="8">
        <v>5</v>
      </c>
      <c r="AC164" s="8">
        <v>131.25</v>
      </c>
      <c r="AD164" s="8">
        <v>190.31</v>
      </c>
      <c r="AE164" s="8">
        <v>59.06</v>
      </c>
      <c r="AF164" t="s">
        <v>20</v>
      </c>
    </row>
    <row r="165" spans="1:32">
      <c r="A165" t="s">
        <v>513</v>
      </c>
      <c r="B165" s="10">
        <v>46218</v>
      </c>
      <c r="C165">
        <v>29</v>
      </c>
      <c r="D165" t="s">
        <v>172</v>
      </c>
      <c r="E165" t="s">
        <v>514</v>
      </c>
      <c r="F165" t="s">
        <v>128</v>
      </c>
      <c r="G165" t="s">
        <v>81</v>
      </c>
      <c r="H165" t="s">
        <v>129</v>
      </c>
      <c r="I165">
        <v>65000</v>
      </c>
      <c r="J165" t="s">
        <v>116</v>
      </c>
      <c r="K165" s="7">
        <v>0.5</v>
      </c>
      <c r="L165" s="11">
        <v>0.82</v>
      </c>
      <c r="M165" s="7">
        <v>0.61</v>
      </c>
      <c r="N165" t="s">
        <v>61</v>
      </c>
      <c r="O165" t="s">
        <v>62</v>
      </c>
      <c r="P165" t="s">
        <v>66</v>
      </c>
      <c r="Q165" t="s">
        <v>67</v>
      </c>
      <c r="R165" t="s">
        <v>169</v>
      </c>
      <c r="S165" s="12">
        <v>46218.6458333333</v>
      </c>
      <c r="T165" s="12">
        <v>46218.67125</v>
      </c>
      <c r="U165" s="12">
        <v>46218.7441666667</v>
      </c>
      <c r="V165" t="s">
        <v>165</v>
      </c>
      <c r="W165" s="7">
        <v>0.61</v>
      </c>
      <c r="X165" s="7">
        <v>0</v>
      </c>
      <c r="Y165" s="8">
        <v>15.25</v>
      </c>
      <c r="Z165" s="8">
        <v>11</v>
      </c>
      <c r="AA165" s="8">
        <v>0.5</v>
      </c>
      <c r="AB165" s="8">
        <v>5</v>
      </c>
      <c r="AC165" s="8">
        <v>31.75</v>
      </c>
      <c r="AD165" s="8">
        <v>46.04</v>
      </c>
      <c r="AE165" s="8">
        <v>14.29</v>
      </c>
      <c r="AF165" t="s">
        <v>20</v>
      </c>
    </row>
    <row r="166" spans="1:32">
      <c r="A166" t="s">
        <v>515</v>
      </c>
      <c r="B166" s="10">
        <v>46216</v>
      </c>
      <c r="C166">
        <v>29</v>
      </c>
      <c r="D166" t="s">
        <v>167</v>
      </c>
      <c r="E166" t="s">
        <v>516</v>
      </c>
      <c r="F166" t="s">
        <v>128</v>
      </c>
      <c r="G166" t="s">
        <v>79</v>
      </c>
      <c r="H166" t="s">
        <v>127</v>
      </c>
      <c r="I166">
        <v>60000</v>
      </c>
      <c r="J166" t="s">
        <v>115</v>
      </c>
      <c r="K166" s="7">
        <v>5.7</v>
      </c>
      <c r="L166" s="11">
        <v>0.82</v>
      </c>
      <c r="M166" s="7">
        <v>6.95</v>
      </c>
      <c r="N166" t="s">
        <v>57</v>
      </c>
      <c r="O166" t="s">
        <v>58</v>
      </c>
      <c r="P166" t="s">
        <v>66</v>
      </c>
      <c r="Q166" t="s">
        <v>67</v>
      </c>
      <c r="R166" t="s">
        <v>174</v>
      </c>
      <c r="S166" s="12">
        <v>46216.3333333333</v>
      </c>
      <c r="T166" s="12">
        <v>46216.6645833333</v>
      </c>
      <c r="U166" s="12">
        <v>46216.7375</v>
      </c>
      <c r="V166" t="s">
        <v>6</v>
      </c>
      <c r="W166" s="7">
        <v>6.95</v>
      </c>
      <c r="X166" s="7">
        <v>0</v>
      </c>
      <c r="Y166" s="8">
        <v>173.75</v>
      </c>
      <c r="Z166" s="8">
        <v>11</v>
      </c>
      <c r="AA166" s="8">
        <v>0.5</v>
      </c>
      <c r="AB166" s="8">
        <v>5</v>
      </c>
      <c r="AC166" s="8">
        <v>190.25</v>
      </c>
      <c r="AD166" s="8">
        <v>275.86</v>
      </c>
      <c r="AE166" s="8">
        <v>85.61</v>
      </c>
      <c r="AF166" t="s">
        <v>20</v>
      </c>
    </row>
    <row r="167" spans="1:32">
      <c r="A167" t="s">
        <v>517</v>
      </c>
      <c r="B167" s="10">
        <v>46216</v>
      </c>
      <c r="C167">
        <v>29</v>
      </c>
      <c r="D167" t="s">
        <v>199</v>
      </c>
      <c r="E167" t="s">
        <v>518</v>
      </c>
      <c r="F167" t="s">
        <v>128</v>
      </c>
      <c r="G167" t="s">
        <v>101</v>
      </c>
      <c r="H167" t="s">
        <v>131</v>
      </c>
      <c r="I167">
        <v>85000</v>
      </c>
      <c r="J167" t="s">
        <v>120</v>
      </c>
      <c r="K167" s="7">
        <v>0.6</v>
      </c>
      <c r="L167" s="11">
        <v>0.82</v>
      </c>
      <c r="M167" s="7">
        <v>0.73</v>
      </c>
      <c r="N167" t="s">
        <v>55</v>
      </c>
      <c r="O167" t="s">
        <v>56</v>
      </c>
      <c r="P167" t="s">
        <v>63</v>
      </c>
      <c r="Q167" t="s">
        <v>64</v>
      </c>
      <c r="R167" t="s">
        <v>178</v>
      </c>
      <c r="S167" s="12">
        <v>46216.4166666667</v>
      </c>
      <c r="T167" s="12">
        <v>46216.4470833333</v>
      </c>
      <c r="U167" s="12">
        <v>46216.52</v>
      </c>
      <c r="V167" t="s">
        <v>6</v>
      </c>
      <c r="W167" s="7">
        <v>0.73</v>
      </c>
      <c r="X167" s="7">
        <v>0</v>
      </c>
      <c r="Y167" s="8">
        <v>18.25</v>
      </c>
      <c r="Z167" s="8">
        <v>11</v>
      </c>
      <c r="AA167" s="8">
        <v>0.5</v>
      </c>
      <c r="AB167" s="8">
        <v>5</v>
      </c>
      <c r="AC167" s="8">
        <v>34.75</v>
      </c>
      <c r="AD167" s="8">
        <v>50.39</v>
      </c>
      <c r="AE167" s="8">
        <v>15.64</v>
      </c>
      <c r="AF167" t="s">
        <v>20</v>
      </c>
    </row>
    <row r="168" spans="1:32">
      <c r="A168" t="s">
        <v>519</v>
      </c>
      <c r="B168" s="10">
        <v>46216</v>
      </c>
      <c r="C168">
        <v>29</v>
      </c>
      <c r="D168" t="s">
        <v>188</v>
      </c>
      <c r="E168" t="s">
        <v>520</v>
      </c>
      <c r="F168" t="s">
        <v>128</v>
      </c>
      <c r="G168" t="s">
        <v>100</v>
      </c>
      <c r="H168" t="s">
        <v>130</v>
      </c>
      <c r="I168">
        <v>25000</v>
      </c>
      <c r="J168" t="s">
        <v>108</v>
      </c>
      <c r="K168" s="7">
        <v>1.25</v>
      </c>
      <c r="L168" s="11">
        <v>0.82</v>
      </c>
      <c r="M168" s="7">
        <v>1.52</v>
      </c>
      <c r="N168" t="s">
        <v>53</v>
      </c>
      <c r="O168" t="s">
        <v>54</v>
      </c>
      <c r="P168" t="s">
        <v>66</v>
      </c>
      <c r="Q168" t="s">
        <v>67</v>
      </c>
      <c r="R168" t="s">
        <v>181</v>
      </c>
      <c r="S168" s="12">
        <v>46216.5833333333</v>
      </c>
      <c r="T168" s="12">
        <v>46216.6466666667</v>
      </c>
      <c r="U168" s="12">
        <v>46216.7195833333</v>
      </c>
      <c r="V168" t="s">
        <v>170</v>
      </c>
      <c r="W168" s="7">
        <v>1.52</v>
      </c>
      <c r="X168" s="7">
        <v>0</v>
      </c>
      <c r="Y168" s="8">
        <v>38</v>
      </c>
      <c r="Z168" s="8">
        <v>11</v>
      </c>
      <c r="AA168" s="8">
        <v>0.5</v>
      </c>
      <c r="AB168" s="8">
        <v>5</v>
      </c>
      <c r="AC168" s="8">
        <v>54.5</v>
      </c>
      <c r="AD168" s="8">
        <v>79.02</v>
      </c>
      <c r="AE168" s="8">
        <v>24.52</v>
      </c>
      <c r="AF168" t="s">
        <v>20</v>
      </c>
    </row>
    <row r="169" spans="1:32">
      <c r="A169" t="s">
        <v>521</v>
      </c>
      <c r="B169" s="10">
        <v>46224</v>
      </c>
      <c r="C169">
        <v>30</v>
      </c>
      <c r="D169" t="s">
        <v>188</v>
      </c>
      <c r="E169" t="s">
        <v>522</v>
      </c>
      <c r="F169" t="s">
        <v>128</v>
      </c>
      <c r="G169" t="s">
        <v>94</v>
      </c>
      <c r="H169" t="s">
        <v>130</v>
      </c>
      <c r="I169">
        <v>25000</v>
      </c>
      <c r="J169" t="s">
        <v>108</v>
      </c>
      <c r="K169" s="7">
        <v>1.2</v>
      </c>
      <c r="L169" s="11">
        <v>0.82</v>
      </c>
      <c r="M169" s="7">
        <v>1.46</v>
      </c>
      <c r="N169" t="s">
        <v>53</v>
      </c>
      <c r="O169" t="s">
        <v>54</v>
      </c>
      <c r="P169" t="s">
        <v>66</v>
      </c>
      <c r="Q169" t="s">
        <v>67</v>
      </c>
      <c r="R169" t="s">
        <v>184</v>
      </c>
      <c r="S169" s="12">
        <v>46224.6458333333</v>
      </c>
      <c r="T169" s="12">
        <v>46224.7066666667</v>
      </c>
      <c r="U169" s="12">
        <v>46224.7795833333</v>
      </c>
      <c r="V169" t="s">
        <v>170</v>
      </c>
      <c r="W169" s="7">
        <v>1.46</v>
      </c>
      <c r="X169" s="7">
        <v>0</v>
      </c>
      <c r="Y169" s="8">
        <v>36.5</v>
      </c>
      <c r="Z169" s="8">
        <v>11</v>
      </c>
      <c r="AA169" s="8">
        <v>0.5</v>
      </c>
      <c r="AB169" s="8">
        <v>5</v>
      </c>
      <c r="AC169" s="8">
        <v>53</v>
      </c>
      <c r="AD169" s="8">
        <v>76.85</v>
      </c>
      <c r="AE169" s="8">
        <v>23.85</v>
      </c>
      <c r="AF169" t="s">
        <v>20</v>
      </c>
    </row>
    <row r="170" spans="1:32">
      <c r="A170" t="s">
        <v>523</v>
      </c>
      <c r="B170" s="10">
        <v>46219</v>
      </c>
      <c r="C170">
        <v>29</v>
      </c>
      <c r="D170" t="s">
        <v>227</v>
      </c>
      <c r="E170" t="s">
        <v>524</v>
      </c>
      <c r="F170" t="s">
        <v>128</v>
      </c>
      <c r="G170" t="s">
        <v>83</v>
      </c>
      <c r="H170" t="s">
        <v>130</v>
      </c>
      <c r="I170">
        <v>85000</v>
      </c>
      <c r="J170" t="s">
        <v>120</v>
      </c>
      <c r="K170" s="7">
        <v>0.5</v>
      </c>
      <c r="L170" s="11">
        <v>0.82</v>
      </c>
      <c r="M170" s="7">
        <v>0.61</v>
      </c>
      <c r="N170" t="s">
        <v>55</v>
      </c>
      <c r="O170" t="s">
        <v>56</v>
      </c>
      <c r="P170" t="s">
        <v>66</v>
      </c>
      <c r="Q170" t="s">
        <v>67</v>
      </c>
      <c r="R170" t="s">
        <v>164</v>
      </c>
      <c r="S170" s="12">
        <v>46219.3333333333</v>
      </c>
      <c r="T170" s="12">
        <v>46219.35875</v>
      </c>
      <c r="U170" s="12">
        <v>46219.4316666667</v>
      </c>
      <c r="V170" t="s">
        <v>170</v>
      </c>
      <c r="W170" s="7">
        <v>0.61</v>
      </c>
      <c r="X170" s="7">
        <v>0</v>
      </c>
      <c r="Y170" s="8">
        <v>15.25</v>
      </c>
      <c r="Z170" s="8">
        <v>11</v>
      </c>
      <c r="AA170" s="8">
        <v>0.5</v>
      </c>
      <c r="AB170" s="8">
        <v>5</v>
      </c>
      <c r="AC170" s="8">
        <v>31.75</v>
      </c>
      <c r="AD170" s="8">
        <v>46.04</v>
      </c>
      <c r="AE170" s="8">
        <v>14.29</v>
      </c>
      <c r="AF170" t="s">
        <v>20</v>
      </c>
    </row>
    <row r="171" spans="1:32">
      <c r="A171" t="s">
        <v>525</v>
      </c>
      <c r="B171" s="10">
        <v>46227</v>
      </c>
      <c r="C171">
        <v>30</v>
      </c>
      <c r="D171" t="s">
        <v>199</v>
      </c>
      <c r="E171" t="s">
        <v>526</v>
      </c>
      <c r="F171" t="s">
        <v>128</v>
      </c>
      <c r="G171" t="s">
        <v>80</v>
      </c>
      <c r="H171" t="s">
        <v>127</v>
      </c>
      <c r="I171">
        <v>25000</v>
      </c>
      <c r="J171" t="s">
        <v>108</v>
      </c>
      <c r="K171" s="7">
        <v>0.7</v>
      </c>
      <c r="L171" s="11">
        <v>0.82</v>
      </c>
      <c r="M171" s="7">
        <v>0.85</v>
      </c>
      <c r="N171" t="s">
        <v>50</v>
      </c>
      <c r="O171" t="s">
        <v>51</v>
      </c>
      <c r="P171" t="s">
        <v>63</v>
      </c>
      <c r="Q171" t="s">
        <v>64</v>
      </c>
      <c r="R171" t="s">
        <v>169</v>
      </c>
      <c r="S171" s="12">
        <v>46227.4166666667</v>
      </c>
      <c r="T171" s="12">
        <v>46227.4520833333</v>
      </c>
      <c r="U171" s="12">
        <v>46227.525</v>
      </c>
      <c r="V171" t="s">
        <v>170</v>
      </c>
      <c r="W171" s="7">
        <v>0.85</v>
      </c>
      <c r="X171" s="7">
        <v>0</v>
      </c>
      <c r="Y171" s="8">
        <v>21.25</v>
      </c>
      <c r="Z171" s="8">
        <v>11</v>
      </c>
      <c r="AA171" s="8">
        <v>0.5</v>
      </c>
      <c r="AB171" s="8">
        <v>5</v>
      </c>
      <c r="AC171" s="8">
        <v>37.75</v>
      </c>
      <c r="AD171" s="8">
        <v>54.74</v>
      </c>
      <c r="AE171" s="8">
        <v>16.99</v>
      </c>
      <c r="AF171" t="s">
        <v>20</v>
      </c>
    </row>
    <row r="172" spans="1:32">
      <c r="A172" t="s">
        <v>527</v>
      </c>
      <c r="B172" s="10">
        <v>46230</v>
      </c>
      <c r="C172">
        <v>31</v>
      </c>
      <c r="D172" t="s">
        <v>172</v>
      </c>
      <c r="E172" t="s">
        <v>528</v>
      </c>
      <c r="F172" t="s">
        <v>128</v>
      </c>
      <c r="G172" t="s">
        <v>91</v>
      </c>
      <c r="H172" t="s">
        <v>130</v>
      </c>
      <c r="I172">
        <v>90000</v>
      </c>
      <c r="J172" t="s">
        <v>121</v>
      </c>
      <c r="K172" s="7">
        <v>5.39</v>
      </c>
      <c r="L172" s="11">
        <v>0.82</v>
      </c>
      <c r="M172" s="7">
        <v>6.57</v>
      </c>
      <c r="N172" t="s">
        <v>53</v>
      </c>
      <c r="O172" t="s">
        <v>54</v>
      </c>
      <c r="P172" t="s">
        <v>66</v>
      </c>
      <c r="Q172" t="s">
        <v>67</v>
      </c>
      <c r="R172" t="s">
        <v>174</v>
      </c>
      <c r="S172" s="12">
        <v>46230.5833333333</v>
      </c>
      <c r="T172" s="12">
        <v>46230.8570833333</v>
      </c>
      <c r="U172" s="12">
        <v>46230.93</v>
      </c>
      <c r="V172" t="s">
        <v>201</v>
      </c>
      <c r="W172" s="7">
        <v>3.57</v>
      </c>
      <c r="X172" s="7">
        <v>3</v>
      </c>
      <c r="Y172" s="8">
        <v>164.25</v>
      </c>
      <c r="Z172" s="8">
        <v>11</v>
      </c>
      <c r="AA172" s="8">
        <v>0.5</v>
      </c>
      <c r="AB172" s="8">
        <v>5</v>
      </c>
      <c r="AC172" s="8">
        <v>180.75</v>
      </c>
      <c r="AD172" s="8">
        <v>262.09</v>
      </c>
      <c r="AE172" s="8">
        <v>81.34</v>
      </c>
      <c r="AF172" t="s">
        <v>20</v>
      </c>
    </row>
    <row r="173" spans="1:32">
      <c r="A173" t="s">
        <v>529</v>
      </c>
      <c r="B173" s="10">
        <v>46216</v>
      </c>
      <c r="C173">
        <v>29</v>
      </c>
      <c r="D173" t="s">
        <v>227</v>
      </c>
      <c r="E173" t="s">
        <v>530</v>
      </c>
      <c r="F173" t="s">
        <v>128</v>
      </c>
      <c r="G173" t="s">
        <v>92</v>
      </c>
      <c r="H173" t="s">
        <v>130</v>
      </c>
      <c r="I173">
        <v>85000</v>
      </c>
      <c r="J173" t="s">
        <v>120</v>
      </c>
      <c r="K173" s="7">
        <v>0.8</v>
      </c>
      <c r="L173" s="11">
        <v>0.82</v>
      </c>
      <c r="M173" s="7">
        <v>0.98</v>
      </c>
      <c r="N173" t="s">
        <v>61</v>
      </c>
      <c r="O173" t="s">
        <v>62</v>
      </c>
      <c r="P173" t="s">
        <v>63</v>
      </c>
      <c r="Q173" t="s">
        <v>64</v>
      </c>
      <c r="R173" t="s">
        <v>178</v>
      </c>
      <c r="S173" s="12">
        <v>46216.6458333333</v>
      </c>
      <c r="T173" s="12">
        <v>46216.6866666667</v>
      </c>
      <c r="U173" s="12">
        <v>46216.7595833333</v>
      </c>
      <c r="V173" t="s">
        <v>6</v>
      </c>
      <c r="W173" s="7">
        <v>0.98</v>
      </c>
      <c r="X173" s="7">
        <v>0</v>
      </c>
      <c r="Y173" s="8">
        <v>24.5</v>
      </c>
      <c r="Z173" s="8">
        <v>11</v>
      </c>
      <c r="AA173" s="8">
        <v>0.5</v>
      </c>
      <c r="AB173" s="8">
        <v>5</v>
      </c>
      <c r="AC173" s="8">
        <v>41</v>
      </c>
      <c r="AD173" s="8">
        <v>59.45</v>
      </c>
      <c r="AE173" s="8">
        <v>18.45</v>
      </c>
      <c r="AF173" t="s">
        <v>20</v>
      </c>
    </row>
    <row r="174" spans="1:32">
      <c r="A174" t="s">
        <v>531</v>
      </c>
      <c r="B174" s="10">
        <v>46216</v>
      </c>
      <c r="C174">
        <v>29</v>
      </c>
      <c r="D174" t="s">
        <v>194</v>
      </c>
      <c r="E174" t="s">
        <v>532</v>
      </c>
      <c r="F174" t="s">
        <v>128</v>
      </c>
      <c r="G174" t="s">
        <v>98</v>
      </c>
      <c r="H174" t="s">
        <v>130</v>
      </c>
      <c r="I174">
        <v>50000</v>
      </c>
      <c r="J174" t="s">
        <v>113</v>
      </c>
      <c r="K174" s="7">
        <v>5.36</v>
      </c>
      <c r="L174" s="11">
        <v>0.82</v>
      </c>
      <c r="M174" s="7">
        <v>6.54</v>
      </c>
      <c r="N174" t="s">
        <v>59</v>
      </c>
      <c r="O174" t="s">
        <v>60</v>
      </c>
      <c r="P174" t="s">
        <v>66</v>
      </c>
      <c r="Q174" t="s">
        <v>67</v>
      </c>
      <c r="R174" t="s">
        <v>181</v>
      </c>
      <c r="S174" s="12">
        <v>46216.3333333333</v>
      </c>
      <c r="T174" s="12">
        <v>46216.6475</v>
      </c>
      <c r="U174" s="12">
        <v>46216.7204166667</v>
      </c>
      <c r="V174" t="s">
        <v>6</v>
      </c>
      <c r="W174" s="7">
        <v>6.54</v>
      </c>
      <c r="X174" s="7">
        <v>0</v>
      </c>
      <c r="Y174" s="8">
        <v>163.5</v>
      </c>
      <c r="Z174" s="8">
        <v>11</v>
      </c>
      <c r="AA174" s="8">
        <v>0.5</v>
      </c>
      <c r="AB174" s="8">
        <v>5</v>
      </c>
      <c r="AC174" s="8">
        <v>180</v>
      </c>
      <c r="AD174" s="8">
        <v>261</v>
      </c>
      <c r="AE174" s="8">
        <v>81</v>
      </c>
      <c r="AF174" t="s">
        <v>20</v>
      </c>
    </row>
    <row r="175" spans="1:32">
      <c r="A175" t="s">
        <v>533</v>
      </c>
      <c r="B175" s="10">
        <v>46220</v>
      </c>
      <c r="C175">
        <v>29</v>
      </c>
      <c r="D175" t="s">
        <v>227</v>
      </c>
      <c r="E175" t="s">
        <v>534</v>
      </c>
      <c r="F175" t="s">
        <v>128</v>
      </c>
      <c r="G175" t="s">
        <v>99</v>
      </c>
      <c r="H175" t="s">
        <v>130</v>
      </c>
      <c r="I175">
        <v>45000</v>
      </c>
      <c r="J175" t="s">
        <v>112</v>
      </c>
      <c r="K175" s="7">
        <v>0.8</v>
      </c>
      <c r="L175" s="11">
        <v>0.82</v>
      </c>
      <c r="M175" s="7">
        <v>0.98</v>
      </c>
      <c r="N175" t="s">
        <v>50</v>
      </c>
      <c r="O175" t="s">
        <v>51</v>
      </c>
      <c r="P175" t="s">
        <v>63</v>
      </c>
      <c r="Q175" t="s">
        <v>64</v>
      </c>
      <c r="R175" t="s">
        <v>184</v>
      </c>
      <c r="S175" s="12">
        <v>46220.4166666667</v>
      </c>
      <c r="T175" s="12">
        <v>46220.4575</v>
      </c>
      <c r="U175" s="12">
        <v>46220.5304166667</v>
      </c>
      <c r="V175" t="s">
        <v>165</v>
      </c>
      <c r="W175" s="7">
        <v>0.98</v>
      </c>
      <c r="X175" s="7">
        <v>0</v>
      </c>
      <c r="Y175" s="8">
        <v>24.5</v>
      </c>
      <c r="Z175" s="8">
        <v>11</v>
      </c>
      <c r="AA175" s="8">
        <v>0.5</v>
      </c>
      <c r="AB175" s="8">
        <v>5</v>
      </c>
      <c r="AC175" s="8">
        <v>41</v>
      </c>
      <c r="AD175" s="8">
        <v>59.45</v>
      </c>
      <c r="AE175" s="8">
        <v>18.45</v>
      </c>
      <c r="AF175" t="s">
        <v>20</v>
      </c>
    </row>
    <row r="176" spans="1:32">
      <c r="A176" t="s">
        <v>535</v>
      </c>
      <c r="B176" s="10">
        <v>46219</v>
      </c>
      <c r="C176">
        <v>29</v>
      </c>
      <c r="D176" t="s">
        <v>162</v>
      </c>
      <c r="E176" t="s">
        <v>536</v>
      </c>
      <c r="F176" t="s">
        <v>128</v>
      </c>
      <c r="G176" t="s">
        <v>75</v>
      </c>
      <c r="H176" t="s">
        <v>127</v>
      </c>
      <c r="I176">
        <v>65000</v>
      </c>
      <c r="J176" t="s">
        <v>116</v>
      </c>
      <c r="K176" s="7">
        <v>0.5</v>
      </c>
      <c r="L176" s="11">
        <v>0.82</v>
      </c>
      <c r="M176" s="7">
        <v>0.61</v>
      </c>
      <c r="N176" t="s">
        <v>55</v>
      </c>
      <c r="O176" t="s">
        <v>56</v>
      </c>
      <c r="P176" t="s">
        <v>63</v>
      </c>
      <c r="Q176" t="s">
        <v>64</v>
      </c>
      <c r="R176" t="s">
        <v>164</v>
      </c>
      <c r="S176" s="12">
        <v>46219.5833333333</v>
      </c>
      <c r="T176" s="12">
        <v>46219.60875</v>
      </c>
      <c r="U176" s="12">
        <v>46219.6816666667</v>
      </c>
      <c r="V176" t="s">
        <v>201</v>
      </c>
      <c r="W176" s="7">
        <v>0.61</v>
      </c>
      <c r="X176" s="7">
        <v>0</v>
      </c>
      <c r="Y176" s="8">
        <v>15.25</v>
      </c>
      <c r="Z176" s="8">
        <v>11</v>
      </c>
      <c r="AA176" s="8">
        <v>0.5</v>
      </c>
      <c r="AB176" s="8">
        <v>5</v>
      </c>
      <c r="AC176" s="8">
        <v>31.75</v>
      </c>
      <c r="AD176" s="8">
        <v>46.04</v>
      </c>
      <c r="AE176" s="8">
        <v>14.29</v>
      </c>
      <c r="AF176" t="s">
        <v>20</v>
      </c>
    </row>
    <row r="177" spans="1:32">
      <c r="A177" t="s">
        <v>537</v>
      </c>
      <c r="B177" s="10">
        <v>46218</v>
      </c>
      <c r="C177">
        <v>29</v>
      </c>
      <c r="D177" t="s">
        <v>199</v>
      </c>
      <c r="E177" t="s">
        <v>538</v>
      </c>
      <c r="F177" t="s">
        <v>128</v>
      </c>
      <c r="G177" t="s">
        <v>75</v>
      </c>
      <c r="H177" t="s">
        <v>127</v>
      </c>
      <c r="I177">
        <v>25000</v>
      </c>
      <c r="J177" t="s">
        <v>108</v>
      </c>
      <c r="K177" s="7">
        <v>0.7</v>
      </c>
      <c r="L177" s="11">
        <v>0.82</v>
      </c>
      <c r="M177" s="7">
        <v>0.85</v>
      </c>
      <c r="N177" t="s">
        <v>59</v>
      </c>
      <c r="O177" t="s">
        <v>60</v>
      </c>
      <c r="P177" t="s">
        <v>63</v>
      </c>
      <c r="Q177" t="s">
        <v>64</v>
      </c>
      <c r="R177" t="s">
        <v>169</v>
      </c>
      <c r="S177" s="12">
        <v>46218.6458333333</v>
      </c>
      <c r="T177" s="12">
        <v>46218.68125</v>
      </c>
      <c r="U177" s="12">
        <v>46218.7541666667</v>
      </c>
      <c r="V177" t="s">
        <v>170</v>
      </c>
      <c r="W177" s="7">
        <v>0.85</v>
      </c>
      <c r="X177" s="7">
        <v>0</v>
      </c>
      <c r="Y177" s="8">
        <v>21.25</v>
      </c>
      <c r="Z177" s="8">
        <v>11</v>
      </c>
      <c r="AA177" s="8">
        <v>0.5</v>
      </c>
      <c r="AB177" s="8">
        <v>5</v>
      </c>
      <c r="AC177" s="8">
        <v>37.75</v>
      </c>
      <c r="AD177" s="8">
        <v>54.74</v>
      </c>
      <c r="AE177" s="8">
        <v>16.99</v>
      </c>
      <c r="AF177" t="s">
        <v>20</v>
      </c>
    </row>
    <row r="178" spans="1:32">
      <c r="A178" t="s">
        <v>539</v>
      </c>
      <c r="B178" s="10">
        <v>46227</v>
      </c>
      <c r="C178">
        <v>30</v>
      </c>
      <c r="D178" t="s">
        <v>191</v>
      </c>
      <c r="E178" t="s">
        <v>540</v>
      </c>
      <c r="F178" t="s">
        <v>128</v>
      </c>
      <c r="G178" t="s">
        <v>88</v>
      </c>
      <c r="H178" t="s">
        <v>130</v>
      </c>
      <c r="I178">
        <v>50000</v>
      </c>
      <c r="J178" t="s">
        <v>113</v>
      </c>
      <c r="K178" s="7">
        <v>3.76</v>
      </c>
      <c r="L178" s="11">
        <v>0.82</v>
      </c>
      <c r="M178" s="7">
        <v>4.59</v>
      </c>
      <c r="N178" t="s">
        <v>61</v>
      </c>
      <c r="O178" t="s">
        <v>62</v>
      </c>
      <c r="P178" t="s">
        <v>66</v>
      </c>
      <c r="Q178" t="s">
        <v>67</v>
      </c>
      <c r="R178" t="s">
        <v>174</v>
      </c>
      <c r="S178" s="12">
        <v>46227.3333333333</v>
      </c>
      <c r="T178" s="12">
        <v>46227.5245833333</v>
      </c>
      <c r="U178" s="12">
        <v>46227.5975</v>
      </c>
      <c r="V178" t="s">
        <v>6</v>
      </c>
      <c r="W178" s="7">
        <v>4.59</v>
      </c>
      <c r="X178" s="7">
        <v>0</v>
      </c>
      <c r="Y178" s="8">
        <v>114.75</v>
      </c>
      <c r="Z178" s="8">
        <v>11</v>
      </c>
      <c r="AA178" s="8">
        <v>0.5</v>
      </c>
      <c r="AB178" s="8">
        <v>5</v>
      </c>
      <c r="AC178" s="8">
        <v>131.25</v>
      </c>
      <c r="AD178" s="8">
        <v>190.31</v>
      </c>
      <c r="AE178" s="8">
        <v>59.06</v>
      </c>
      <c r="AF178" t="s">
        <v>20</v>
      </c>
    </row>
    <row r="179" spans="1:32">
      <c r="A179" t="s">
        <v>541</v>
      </c>
      <c r="B179" s="10">
        <v>46224</v>
      </c>
      <c r="C179">
        <v>30</v>
      </c>
      <c r="D179" t="s">
        <v>221</v>
      </c>
      <c r="E179" t="s">
        <v>542</v>
      </c>
      <c r="F179" t="s">
        <v>128</v>
      </c>
      <c r="G179" t="s">
        <v>94</v>
      </c>
      <c r="H179" t="s">
        <v>130</v>
      </c>
      <c r="I179">
        <v>1000000</v>
      </c>
      <c r="J179" t="s">
        <v>123</v>
      </c>
      <c r="K179" s="7">
        <v>4.46</v>
      </c>
      <c r="L179" s="11">
        <v>0.82</v>
      </c>
      <c r="M179" s="7">
        <v>5.44</v>
      </c>
      <c r="N179" t="s">
        <v>61</v>
      </c>
      <c r="O179" t="s">
        <v>62</v>
      </c>
      <c r="P179" t="s">
        <v>63</v>
      </c>
      <c r="Q179" t="s">
        <v>64</v>
      </c>
      <c r="R179" t="s">
        <v>178</v>
      </c>
      <c r="S179" s="12">
        <v>46224.4166666667</v>
      </c>
      <c r="T179" s="12">
        <v>46224.685</v>
      </c>
      <c r="U179" s="12">
        <v>46224.7579166667</v>
      </c>
      <c r="V179" t="s">
        <v>201</v>
      </c>
      <c r="W179" s="7">
        <v>5.44</v>
      </c>
      <c r="X179" s="7">
        <v>0</v>
      </c>
      <c r="Y179" s="8">
        <v>136</v>
      </c>
      <c r="Z179" s="8">
        <v>11</v>
      </c>
      <c r="AA179" s="8">
        <v>0.5</v>
      </c>
      <c r="AB179" s="8">
        <v>5</v>
      </c>
      <c r="AC179" s="8">
        <v>152.5</v>
      </c>
      <c r="AD179" s="8">
        <v>221.12</v>
      </c>
      <c r="AE179" s="8">
        <v>68.62</v>
      </c>
      <c r="AF179" t="s">
        <v>20</v>
      </c>
    </row>
    <row r="180" spans="1:32">
      <c r="A180" t="s">
        <v>543</v>
      </c>
      <c r="B180" s="10">
        <v>46226</v>
      </c>
      <c r="C180">
        <v>30</v>
      </c>
      <c r="D180" t="s">
        <v>188</v>
      </c>
      <c r="E180" t="s">
        <v>544</v>
      </c>
      <c r="F180" t="s">
        <v>128</v>
      </c>
      <c r="G180" t="s">
        <v>88</v>
      </c>
      <c r="H180" t="s">
        <v>130</v>
      </c>
      <c r="I180">
        <v>10000</v>
      </c>
      <c r="J180" t="s">
        <v>105</v>
      </c>
      <c r="K180" s="7">
        <v>3.06</v>
      </c>
      <c r="L180" s="11">
        <v>0.82</v>
      </c>
      <c r="M180" s="7">
        <v>3.73</v>
      </c>
      <c r="N180" t="s">
        <v>57</v>
      </c>
      <c r="O180" t="s">
        <v>58</v>
      </c>
      <c r="P180" t="s">
        <v>63</v>
      </c>
      <c r="Q180" t="s">
        <v>64</v>
      </c>
      <c r="R180" t="s">
        <v>181</v>
      </c>
      <c r="S180" s="12">
        <v>46226.5833333333</v>
      </c>
      <c r="T180" s="12">
        <v>46226.73875</v>
      </c>
      <c r="U180" s="12">
        <v>46226.8116666667</v>
      </c>
      <c r="V180" t="s">
        <v>170</v>
      </c>
      <c r="W180" s="7">
        <v>3.5</v>
      </c>
      <c r="X180" s="7">
        <v>0.23</v>
      </c>
      <c r="Y180" s="8">
        <v>93.25</v>
      </c>
      <c r="Z180" s="8">
        <v>11</v>
      </c>
      <c r="AA180" s="8">
        <v>0.5</v>
      </c>
      <c r="AB180" s="8">
        <v>5</v>
      </c>
      <c r="AC180" s="8">
        <v>109.75</v>
      </c>
      <c r="AD180" s="8">
        <v>159.14</v>
      </c>
      <c r="AE180" s="8">
        <v>49.39</v>
      </c>
      <c r="AF180" t="s">
        <v>20</v>
      </c>
    </row>
    <row r="181" spans="1:32">
      <c r="A181" t="s">
        <v>545</v>
      </c>
      <c r="B181" s="10">
        <v>46216</v>
      </c>
      <c r="C181">
        <v>29</v>
      </c>
      <c r="D181" t="s">
        <v>176</v>
      </c>
      <c r="E181" t="s">
        <v>546</v>
      </c>
      <c r="F181" t="s">
        <v>128</v>
      </c>
      <c r="G181" t="s">
        <v>85</v>
      </c>
      <c r="H181" t="s">
        <v>130</v>
      </c>
      <c r="I181">
        <v>70000</v>
      </c>
      <c r="J181" t="s">
        <v>117</v>
      </c>
      <c r="K181" s="7">
        <v>4.06</v>
      </c>
      <c r="L181" s="11">
        <v>0.82</v>
      </c>
      <c r="M181" s="7">
        <v>4.95</v>
      </c>
      <c r="N181" t="s">
        <v>55</v>
      </c>
      <c r="O181" t="s">
        <v>56</v>
      </c>
      <c r="P181" t="s">
        <v>63</v>
      </c>
      <c r="Q181" t="s">
        <v>64</v>
      </c>
      <c r="R181" t="s">
        <v>184</v>
      </c>
      <c r="S181" s="12">
        <v>46216.6458333333</v>
      </c>
      <c r="T181" s="12">
        <v>46216.8520833333</v>
      </c>
      <c r="U181" s="12">
        <v>46216.925</v>
      </c>
      <c r="V181" t="s">
        <v>6</v>
      </c>
      <c r="W181" s="7">
        <v>2</v>
      </c>
      <c r="X181" s="7">
        <v>2.95</v>
      </c>
      <c r="Y181" s="8">
        <v>123.75</v>
      </c>
      <c r="Z181" s="8">
        <v>11</v>
      </c>
      <c r="AA181" s="8">
        <v>0.5</v>
      </c>
      <c r="AB181" s="8">
        <v>5</v>
      </c>
      <c r="AC181" s="8">
        <v>140.25</v>
      </c>
      <c r="AD181" s="8">
        <v>203.36</v>
      </c>
      <c r="AE181" s="8">
        <v>63.11</v>
      </c>
      <c r="AF181" t="s">
        <v>20</v>
      </c>
    </row>
    <row r="182" spans="1:32">
      <c r="A182" t="s">
        <v>547</v>
      </c>
      <c r="B182" s="10">
        <v>46216</v>
      </c>
      <c r="C182">
        <v>29</v>
      </c>
      <c r="D182" t="s">
        <v>191</v>
      </c>
      <c r="E182" t="s">
        <v>548</v>
      </c>
      <c r="F182" t="s">
        <v>128</v>
      </c>
      <c r="G182" t="s">
        <v>90</v>
      </c>
      <c r="H182" t="s">
        <v>130</v>
      </c>
      <c r="I182">
        <v>60000</v>
      </c>
      <c r="J182" t="s">
        <v>115</v>
      </c>
      <c r="K182" s="7">
        <v>8.19</v>
      </c>
      <c r="L182" s="11">
        <v>0.82</v>
      </c>
      <c r="M182" s="7">
        <v>9.99</v>
      </c>
      <c r="N182" t="s">
        <v>61</v>
      </c>
      <c r="O182" t="s">
        <v>62</v>
      </c>
      <c r="P182" t="s">
        <v>66</v>
      </c>
      <c r="Q182" t="s">
        <v>67</v>
      </c>
      <c r="R182" t="s">
        <v>164</v>
      </c>
      <c r="S182" s="12">
        <v>46216.3333333333</v>
      </c>
      <c r="T182" s="12">
        <v>46216.79125</v>
      </c>
      <c r="U182" s="12">
        <v>46216.8641666667</v>
      </c>
      <c r="V182" t="s">
        <v>165</v>
      </c>
      <c r="W182" s="7">
        <v>8.5</v>
      </c>
      <c r="X182" s="7">
        <v>1.49</v>
      </c>
      <c r="Y182" s="8">
        <v>249.75</v>
      </c>
      <c r="Z182" s="8">
        <v>11</v>
      </c>
      <c r="AA182" s="8">
        <v>0.5</v>
      </c>
      <c r="AB182" s="8">
        <v>5</v>
      </c>
      <c r="AC182" s="8">
        <v>266.25</v>
      </c>
      <c r="AD182" s="8">
        <v>386.06</v>
      </c>
      <c r="AE182" s="8">
        <v>119.81</v>
      </c>
      <c r="AF182" t="s">
        <v>20</v>
      </c>
    </row>
    <row r="183" spans="1:32">
      <c r="A183" t="s">
        <v>549</v>
      </c>
      <c r="B183" s="10">
        <v>46218</v>
      </c>
      <c r="C183">
        <v>29</v>
      </c>
      <c r="D183" t="s">
        <v>188</v>
      </c>
      <c r="E183" t="s">
        <v>550</v>
      </c>
      <c r="F183" t="s">
        <v>128</v>
      </c>
      <c r="G183" t="s">
        <v>79</v>
      </c>
      <c r="H183" t="s">
        <v>127</v>
      </c>
      <c r="I183">
        <v>15000</v>
      </c>
      <c r="J183" t="s">
        <v>106</v>
      </c>
      <c r="K183" s="7">
        <v>0.9</v>
      </c>
      <c r="L183" s="11">
        <v>0.82</v>
      </c>
      <c r="M183" s="7">
        <v>1.1</v>
      </c>
      <c r="N183" t="s">
        <v>57</v>
      </c>
      <c r="O183" t="s">
        <v>58</v>
      </c>
      <c r="P183" t="s">
        <v>66</v>
      </c>
      <c r="Q183" t="s">
        <v>67</v>
      </c>
      <c r="R183" t="s">
        <v>169</v>
      </c>
      <c r="S183" s="12">
        <v>46218.4166666667</v>
      </c>
      <c r="T183" s="12">
        <v>46218.4625</v>
      </c>
      <c r="U183" s="12">
        <v>46218.5354166667</v>
      </c>
      <c r="V183" t="s">
        <v>6</v>
      </c>
      <c r="W183" s="7">
        <v>1.1</v>
      </c>
      <c r="X183" s="7">
        <v>0</v>
      </c>
      <c r="Y183" s="8">
        <v>27.5</v>
      </c>
      <c r="Z183" s="8">
        <v>11</v>
      </c>
      <c r="AA183" s="8">
        <v>0.5</v>
      </c>
      <c r="AB183" s="8">
        <v>5</v>
      </c>
      <c r="AC183" s="8">
        <v>44</v>
      </c>
      <c r="AD183" s="8">
        <v>63.8</v>
      </c>
      <c r="AE183" s="8">
        <v>19.8</v>
      </c>
      <c r="AF183" t="s">
        <v>20</v>
      </c>
    </row>
    <row r="184" spans="1:32">
      <c r="A184" t="s">
        <v>551</v>
      </c>
      <c r="B184" s="10">
        <v>46225</v>
      </c>
      <c r="C184">
        <v>30</v>
      </c>
      <c r="D184" t="s">
        <v>227</v>
      </c>
      <c r="E184" t="s">
        <v>552</v>
      </c>
      <c r="F184" t="s">
        <v>128</v>
      </c>
      <c r="G184" t="s">
        <v>78</v>
      </c>
      <c r="H184" t="s">
        <v>127</v>
      </c>
      <c r="I184">
        <v>50000</v>
      </c>
      <c r="J184" t="s">
        <v>113</v>
      </c>
      <c r="K184" s="7">
        <v>3.73</v>
      </c>
      <c r="L184" s="11">
        <v>0.82</v>
      </c>
      <c r="M184" s="7">
        <v>4.55</v>
      </c>
      <c r="N184" t="s">
        <v>61</v>
      </c>
      <c r="O184" t="s">
        <v>62</v>
      </c>
      <c r="P184" t="s">
        <v>63</v>
      </c>
      <c r="Q184" t="s">
        <v>64</v>
      </c>
      <c r="R184" t="s">
        <v>174</v>
      </c>
      <c r="S184" s="12">
        <v>46225.5833333333</v>
      </c>
      <c r="T184" s="12">
        <v>46225.7729166667</v>
      </c>
      <c r="U184" s="12">
        <v>46225.8458333333</v>
      </c>
      <c r="V184" t="s">
        <v>170</v>
      </c>
      <c r="W184" s="7">
        <v>3.5</v>
      </c>
      <c r="X184" s="7">
        <v>1.05</v>
      </c>
      <c r="Y184" s="8">
        <v>113.75</v>
      </c>
      <c r="Z184" s="8">
        <v>11</v>
      </c>
      <c r="AA184" s="8">
        <v>0.5</v>
      </c>
      <c r="AB184" s="8">
        <v>5</v>
      </c>
      <c r="AC184" s="8">
        <v>130.25</v>
      </c>
      <c r="AD184" s="8">
        <v>188.86</v>
      </c>
      <c r="AE184" s="8">
        <v>58.61</v>
      </c>
      <c r="AF184" t="s">
        <v>20</v>
      </c>
    </row>
    <row r="185" spans="1:32">
      <c r="A185" t="s">
        <v>553</v>
      </c>
      <c r="B185" s="10">
        <v>46217</v>
      </c>
      <c r="C185">
        <v>29</v>
      </c>
      <c r="D185" t="s">
        <v>221</v>
      </c>
      <c r="E185" t="s">
        <v>554</v>
      </c>
      <c r="F185" t="s">
        <v>128</v>
      </c>
      <c r="G185" t="s">
        <v>97</v>
      </c>
      <c r="H185" t="s">
        <v>130</v>
      </c>
      <c r="I185">
        <v>1500</v>
      </c>
      <c r="J185" t="s">
        <v>103</v>
      </c>
      <c r="K185" s="7">
        <v>0.6</v>
      </c>
      <c r="L185" s="11">
        <v>0.82</v>
      </c>
      <c r="M185" s="7">
        <v>0.73</v>
      </c>
      <c r="N185" t="s">
        <v>57</v>
      </c>
      <c r="O185" t="s">
        <v>58</v>
      </c>
      <c r="P185" t="s">
        <v>66</v>
      </c>
      <c r="Q185" t="s">
        <v>67</v>
      </c>
      <c r="R185" t="s">
        <v>178</v>
      </c>
      <c r="S185" s="12">
        <v>46217.6458333333</v>
      </c>
      <c r="T185" s="12">
        <v>46217.67625</v>
      </c>
      <c r="U185" s="12">
        <v>46217.7491666667</v>
      </c>
      <c r="V185" t="s">
        <v>201</v>
      </c>
      <c r="W185" s="7">
        <v>0.73</v>
      </c>
      <c r="X185" s="7">
        <v>0</v>
      </c>
      <c r="Y185" s="8">
        <v>18.25</v>
      </c>
      <c r="Z185" s="8">
        <v>11</v>
      </c>
      <c r="AA185" s="8">
        <v>0.5</v>
      </c>
      <c r="AB185" s="8">
        <v>5</v>
      </c>
      <c r="AC185" s="8">
        <v>34.75</v>
      </c>
      <c r="AD185" s="8">
        <v>50.39</v>
      </c>
      <c r="AE185" s="8">
        <v>15.64</v>
      </c>
      <c r="AF185" t="s">
        <v>20</v>
      </c>
    </row>
    <row r="186" spans="1:32">
      <c r="A186" t="s">
        <v>555</v>
      </c>
      <c r="B186" s="10">
        <v>46224</v>
      </c>
      <c r="C186">
        <v>30</v>
      </c>
      <c r="D186" t="s">
        <v>252</v>
      </c>
      <c r="E186" t="s">
        <v>556</v>
      </c>
      <c r="F186" t="s">
        <v>128</v>
      </c>
      <c r="G186" t="s">
        <v>83</v>
      </c>
      <c r="H186" t="s">
        <v>130</v>
      </c>
      <c r="I186">
        <v>15000</v>
      </c>
      <c r="J186" t="s">
        <v>106</v>
      </c>
      <c r="K186" s="7">
        <v>0.7</v>
      </c>
      <c r="L186" s="11">
        <v>0.82</v>
      </c>
      <c r="M186" s="7">
        <v>0.85</v>
      </c>
      <c r="N186" t="s">
        <v>50</v>
      </c>
      <c r="O186" t="s">
        <v>51</v>
      </c>
      <c r="P186" t="s">
        <v>66</v>
      </c>
      <c r="Q186" t="s">
        <v>67</v>
      </c>
      <c r="R186" t="s">
        <v>181</v>
      </c>
      <c r="S186" s="12">
        <v>46224.3333333333</v>
      </c>
      <c r="T186" s="12">
        <v>46224.36875</v>
      </c>
      <c r="U186" s="12">
        <v>46224.4416666667</v>
      </c>
      <c r="V186" t="s">
        <v>170</v>
      </c>
      <c r="W186" s="7">
        <v>0.85</v>
      </c>
      <c r="X186" s="7">
        <v>0</v>
      </c>
      <c r="Y186" s="8">
        <v>21.25</v>
      </c>
      <c r="Z186" s="8">
        <v>11</v>
      </c>
      <c r="AA186" s="8">
        <v>0.5</v>
      </c>
      <c r="AB186" s="8">
        <v>5</v>
      </c>
      <c r="AC186" s="8">
        <v>37.75</v>
      </c>
      <c r="AD186" s="8">
        <v>54.74</v>
      </c>
      <c r="AE186" s="8">
        <v>16.99</v>
      </c>
      <c r="AF186" t="s">
        <v>20</v>
      </c>
    </row>
    <row r="187" spans="1:32">
      <c r="A187" t="s">
        <v>557</v>
      </c>
      <c r="B187" s="10">
        <v>46220</v>
      </c>
      <c r="C187">
        <v>29</v>
      </c>
      <c r="D187" t="s">
        <v>188</v>
      </c>
      <c r="E187" t="s">
        <v>558</v>
      </c>
      <c r="F187" t="s">
        <v>128</v>
      </c>
      <c r="G187" t="s">
        <v>92</v>
      </c>
      <c r="H187" t="s">
        <v>130</v>
      </c>
      <c r="I187">
        <v>1500</v>
      </c>
      <c r="J187" t="s">
        <v>103</v>
      </c>
      <c r="K187" s="7">
        <v>0.75</v>
      </c>
      <c r="L187" s="11">
        <v>0.82</v>
      </c>
      <c r="M187" s="7">
        <v>0.91</v>
      </c>
      <c r="N187" t="s">
        <v>55</v>
      </c>
      <c r="O187" t="s">
        <v>56</v>
      </c>
      <c r="P187" t="s">
        <v>66</v>
      </c>
      <c r="Q187" t="s">
        <v>67</v>
      </c>
      <c r="R187" t="s">
        <v>184</v>
      </c>
      <c r="S187" s="12">
        <v>46220.4166666667</v>
      </c>
      <c r="T187" s="12">
        <v>46220.4545833333</v>
      </c>
      <c r="U187" s="12">
        <v>46220.5275</v>
      </c>
      <c r="V187" t="s">
        <v>170</v>
      </c>
      <c r="W187" s="7">
        <v>0.91</v>
      </c>
      <c r="X187" s="7">
        <v>0</v>
      </c>
      <c r="Y187" s="8">
        <v>22.75</v>
      </c>
      <c r="Z187" s="8">
        <v>11</v>
      </c>
      <c r="AA187" s="8">
        <v>0.5</v>
      </c>
      <c r="AB187" s="8">
        <v>5</v>
      </c>
      <c r="AC187" s="8">
        <v>39.25</v>
      </c>
      <c r="AD187" s="8">
        <v>56.91</v>
      </c>
      <c r="AE187" s="8">
        <v>17.66</v>
      </c>
      <c r="AF187" t="s">
        <v>20</v>
      </c>
    </row>
    <row r="188" spans="1:32">
      <c r="A188" t="s">
        <v>559</v>
      </c>
      <c r="B188" s="10">
        <v>46227</v>
      </c>
      <c r="C188">
        <v>30</v>
      </c>
      <c r="D188" t="s">
        <v>191</v>
      </c>
      <c r="E188" t="s">
        <v>560</v>
      </c>
      <c r="F188" t="s">
        <v>128</v>
      </c>
      <c r="G188" t="s">
        <v>88</v>
      </c>
      <c r="H188" t="s">
        <v>130</v>
      </c>
      <c r="I188">
        <v>90000</v>
      </c>
      <c r="J188" t="s">
        <v>121</v>
      </c>
      <c r="K188" s="7">
        <v>5.86</v>
      </c>
      <c r="L188" s="11">
        <v>0.82</v>
      </c>
      <c r="M188" s="7">
        <v>7.15</v>
      </c>
      <c r="N188" t="s">
        <v>57</v>
      </c>
      <c r="O188" t="s">
        <v>58</v>
      </c>
      <c r="P188" t="s">
        <v>63</v>
      </c>
      <c r="Q188" t="s">
        <v>64</v>
      </c>
      <c r="R188" t="s">
        <v>164</v>
      </c>
      <c r="S188" s="12">
        <v>46227.5833333333</v>
      </c>
      <c r="T188" s="12">
        <v>46227.88125</v>
      </c>
      <c r="U188" s="12">
        <v>46227.9541666667</v>
      </c>
      <c r="V188" t="s">
        <v>170</v>
      </c>
      <c r="W188" s="7">
        <v>4.15</v>
      </c>
      <c r="X188" s="7">
        <v>3</v>
      </c>
      <c r="Y188" s="8">
        <v>178.75</v>
      </c>
      <c r="Z188" s="8">
        <v>11</v>
      </c>
      <c r="AA188" s="8">
        <v>0.5</v>
      </c>
      <c r="AB188" s="8">
        <v>5</v>
      </c>
      <c r="AC188" s="8">
        <v>195.25</v>
      </c>
      <c r="AD188" s="8">
        <v>283.11</v>
      </c>
      <c r="AE188" s="8">
        <v>87.86</v>
      </c>
      <c r="AF188" t="s">
        <v>20</v>
      </c>
    </row>
    <row r="189" spans="1:32">
      <c r="A189" t="s">
        <v>561</v>
      </c>
      <c r="B189" s="10">
        <v>46224</v>
      </c>
      <c r="C189">
        <v>30</v>
      </c>
      <c r="D189" t="s">
        <v>207</v>
      </c>
      <c r="E189" t="s">
        <v>562</v>
      </c>
      <c r="F189" t="s">
        <v>128</v>
      </c>
      <c r="G189" t="s">
        <v>86</v>
      </c>
      <c r="H189" t="s">
        <v>130</v>
      </c>
      <c r="I189">
        <v>35000</v>
      </c>
      <c r="J189" t="s">
        <v>110</v>
      </c>
      <c r="K189" s="7">
        <v>0.6</v>
      </c>
      <c r="L189" s="11">
        <v>0.82</v>
      </c>
      <c r="M189" s="7">
        <v>0.73</v>
      </c>
      <c r="N189" t="s">
        <v>57</v>
      </c>
      <c r="O189" t="s">
        <v>58</v>
      </c>
      <c r="P189" t="s">
        <v>63</v>
      </c>
      <c r="Q189" t="s">
        <v>64</v>
      </c>
      <c r="R189" t="s">
        <v>169</v>
      </c>
      <c r="S189" s="12">
        <v>46224.6458333333</v>
      </c>
      <c r="T189" s="12">
        <v>46224.67625</v>
      </c>
      <c r="U189" s="12">
        <v>46224.7491666667</v>
      </c>
      <c r="V189" t="s">
        <v>170</v>
      </c>
      <c r="W189" s="7">
        <v>0.73</v>
      </c>
      <c r="X189" s="7">
        <v>0</v>
      </c>
      <c r="Y189" s="8">
        <v>18.25</v>
      </c>
      <c r="Z189" s="8">
        <v>11</v>
      </c>
      <c r="AA189" s="8">
        <v>0.5</v>
      </c>
      <c r="AB189" s="8">
        <v>5</v>
      </c>
      <c r="AC189" s="8">
        <v>34.75</v>
      </c>
      <c r="AD189" s="8">
        <v>50.39</v>
      </c>
      <c r="AE189" s="8">
        <v>15.64</v>
      </c>
      <c r="AF189" t="s">
        <v>20</v>
      </c>
    </row>
    <row r="190" spans="1:32">
      <c r="A190" t="s">
        <v>563</v>
      </c>
      <c r="B190" s="10">
        <v>46223</v>
      </c>
      <c r="C190">
        <v>30</v>
      </c>
      <c r="D190" t="s">
        <v>297</v>
      </c>
      <c r="E190" t="s">
        <v>564</v>
      </c>
      <c r="F190" t="s">
        <v>128</v>
      </c>
      <c r="G190" t="s">
        <v>90</v>
      </c>
      <c r="H190" t="s">
        <v>130</v>
      </c>
      <c r="I190">
        <v>10000</v>
      </c>
      <c r="J190" t="s">
        <v>105</v>
      </c>
      <c r="K190" s="7">
        <v>3.09</v>
      </c>
      <c r="L190" s="11">
        <v>0.82</v>
      </c>
      <c r="M190" s="7">
        <v>3.77</v>
      </c>
      <c r="N190" t="s">
        <v>50</v>
      </c>
      <c r="O190" t="s">
        <v>51</v>
      </c>
      <c r="P190" t="s">
        <v>66</v>
      </c>
      <c r="Q190" t="s">
        <v>67</v>
      </c>
      <c r="R190" t="s">
        <v>174</v>
      </c>
      <c r="S190" s="12">
        <v>46223.3333333333</v>
      </c>
      <c r="T190" s="12">
        <v>46223.4904166667</v>
      </c>
      <c r="U190" s="12">
        <v>46223.5633333333</v>
      </c>
      <c r="V190" t="s">
        <v>201</v>
      </c>
      <c r="W190" s="7">
        <v>3.77</v>
      </c>
      <c r="X190" s="7">
        <v>0</v>
      </c>
      <c r="Y190" s="8">
        <v>94.25</v>
      </c>
      <c r="Z190" s="8">
        <v>11</v>
      </c>
      <c r="AA190" s="8">
        <v>0.5</v>
      </c>
      <c r="AB190" s="8">
        <v>5</v>
      </c>
      <c r="AC190" s="8">
        <v>110.75</v>
      </c>
      <c r="AD190" s="8">
        <v>160.59</v>
      </c>
      <c r="AE190" s="8">
        <v>49.84</v>
      </c>
      <c r="AF190" t="s">
        <v>20</v>
      </c>
    </row>
    <row r="191" spans="1:32">
      <c r="A191" t="s">
        <v>565</v>
      </c>
      <c r="B191" s="10">
        <v>46218</v>
      </c>
      <c r="C191">
        <v>29</v>
      </c>
      <c r="D191" t="s">
        <v>227</v>
      </c>
      <c r="E191" t="s">
        <v>566</v>
      </c>
      <c r="F191" t="s">
        <v>128</v>
      </c>
      <c r="G191" t="s">
        <v>95</v>
      </c>
      <c r="H191" t="s">
        <v>130</v>
      </c>
      <c r="I191">
        <v>60000</v>
      </c>
      <c r="J191" t="s">
        <v>115</v>
      </c>
      <c r="K191" s="7">
        <v>8.36</v>
      </c>
      <c r="L191" s="11">
        <v>0.82</v>
      </c>
      <c r="M191" s="7">
        <v>10.2</v>
      </c>
      <c r="N191" t="s">
        <v>61</v>
      </c>
      <c r="O191" t="s">
        <v>62</v>
      </c>
      <c r="P191" t="s">
        <v>63</v>
      </c>
      <c r="Q191" t="s">
        <v>64</v>
      </c>
      <c r="R191" t="s">
        <v>178</v>
      </c>
      <c r="S191" s="12">
        <v>46218.4166666667</v>
      </c>
      <c r="T191" s="12">
        <v>46218.8833333333</v>
      </c>
      <c r="U191" s="12">
        <v>46218.95625</v>
      </c>
      <c r="V191" t="s">
        <v>170</v>
      </c>
      <c r="W191" s="7">
        <v>7.2</v>
      </c>
      <c r="X191" s="7">
        <v>3</v>
      </c>
      <c r="Y191" s="8">
        <v>255</v>
      </c>
      <c r="Z191" s="8">
        <v>11</v>
      </c>
      <c r="AA191" s="8">
        <v>0.5</v>
      </c>
      <c r="AB191" s="8">
        <v>5</v>
      </c>
      <c r="AC191" s="8">
        <v>271.5</v>
      </c>
      <c r="AD191" s="8">
        <v>393.68</v>
      </c>
      <c r="AE191" s="8">
        <v>122.18</v>
      </c>
      <c r="AF191" t="s">
        <v>20</v>
      </c>
    </row>
    <row r="192" spans="1:32">
      <c r="A192" t="s">
        <v>567</v>
      </c>
      <c r="B192" s="10">
        <v>46218</v>
      </c>
      <c r="C192">
        <v>29</v>
      </c>
      <c r="D192" t="s">
        <v>199</v>
      </c>
      <c r="E192" t="s">
        <v>568</v>
      </c>
      <c r="F192" t="s">
        <v>128</v>
      </c>
      <c r="G192" t="s">
        <v>76</v>
      </c>
      <c r="H192" t="s">
        <v>127</v>
      </c>
      <c r="I192">
        <v>75000</v>
      </c>
      <c r="J192" t="s">
        <v>118</v>
      </c>
      <c r="K192" s="7">
        <v>1.4</v>
      </c>
      <c r="L192" s="11">
        <v>0.82</v>
      </c>
      <c r="M192" s="7">
        <v>1.71</v>
      </c>
      <c r="N192" t="s">
        <v>50</v>
      </c>
      <c r="O192" t="s">
        <v>51</v>
      </c>
      <c r="P192" t="s">
        <v>66</v>
      </c>
      <c r="Q192" t="s">
        <v>67</v>
      </c>
      <c r="R192" t="s">
        <v>181</v>
      </c>
      <c r="S192" s="12">
        <v>46218.5833333333</v>
      </c>
      <c r="T192" s="12">
        <v>46218.6545833333</v>
      </c>
      <c r="U192" s="12">
        <v>46218.7275</v>
      </c>
      <c r="V192" t="s">
        <v>6</v>
      </c>
      <c r="W192" s="7">
        <v>1.71</v>
      </c>
      <c r="X192" s="7">
        <v>0</v>
      </c>
      <c r="Y192" s="8">
        <v>42.75</v>
      </c>
      <c r="Z192" s="8">
        <v>11</v>
      </c>
      <c r="AA192" s="8">
        <v>0.5</v>
      </c>
      <c r="AB192" s="8">
        <v>5</v>
      </c>
      <c r="AC192" s="8">
        <v>59.25</v>
      </c>
      <c r="AD192" s="8">
        <v>85.91</v>
      </c>
      <c r="AE192" s="8">
        <v>26.66</v>
      </c>
      <c r="AF192" t="s">
        <v>20</v>
      </c>
    </row>
    <row r="193" spans="1:32">
      <c r="A193" t="s">
        <v>569</v>
      </c>
      <c r="B193" s="10">
        <v>46230</v>
      </c>
      <c r="C193">
        <v>31</v>
      </c>
      <c r="D193" t="s">
        <v>199</v>
      </c>
      <c r="E193" t="s">
        <v>570</v>
      </c>
      <c r="F193" t="s">
        <v>128</v>
      </c>
      <c r="G193" t="s">
        <v>92</v>
      </c>
      <c r="H193" t="s">
        <v>130</v>
      </c>
      <c r="I193">
        <v>50000</v>
      </c>
      <c r="J193" t="s">
        <v>113</v>
      </c>
      <c r="K193" s="7">
        <v>4.16</v>
      </c>
      <c r="L193" s="11">
        <v>0.82</v>
      </c>
      <c r="M193" s="7">
        <v>5.07</v>
      </c>
      <c r="N193" t="s">
        <v>61</v>
      </c>
      <c r="O193" t="s">
        <v>62</v>
      </c>
      <c r="P193" t="s">
        <v>63</v>
      </c>
      <c r="Q193" t="s">
        <v>64</v>
      </c>
      <c r="R193" t="s">
        <v>184</v>
      </c>
      <c r="S193" s="12">
        <v>46230.6458333333</v>
      </c>
      <c r="T193" s="12">
        <v>46230.8570833333</v>
      </c>
      <c r="U193" s="12">
        <v>46230.7291666667</v>
      </c>
      <c r="V193" t="s">
        <v>319</v>
      </c>
      <c r="W193" s="7">
        <v>2.07</v>
      </c>
      <c r="X193" s="7">
        <v>3</v>
      </c>
      <c r="Y193" s="8">
        <v>126.75</v>
      </c>
      <c r="Z193" s="8">
        <v>11</v>
      </c>
      <c r="AA193" s="8">
        <v>0.5</v>
      </c>
      <c r="AB193" s="8">
        <v>5</v>
      </c>
      <c r="AC193" s="8">
        <v>143.25</v>
      </c>
      <c r="AD193" s="8">
        <v>207.71</v>
      </c>
      <c r="AE193" s="8">
        <v>64.46</v>
      </c>
      <c r="AF193" t="s">
        <v>320</v>
      </c>
    </row>
    <row r="194" spans="1:32">
      <c r="A194" t="s">
        <v>571</v>
      </c>
      <c r="B194" s="10">
        <v>46218</v>
      </c>
      <c r="C194">
        <v>29</v>
      </c>
      <c r="D194" t="s">
        <v>212</v>
      </c>
      <c r="E194" t="s">
        <v>572</v>
      </c>
      <c r="F194" t="s">
        <v>128</v>
      </c>
      <c r="G194" t="s">
        <v>75</v>
      </c>
      <c r="H194" t="s">
        <v>127</v>
      </c>
      <c r="I194">
        <v>15000</v>
      </c>
      <c r="J194" t="s">
        <v>106</v>
      </c>
      <c r="K194" s="7">
        <v>0.7</v>
      </c>
      <c r="L194" s="11">
        <v>0.82</v>
      </c>
      <c r="M194" s="7">
        <v>0.85</v>
      </c>
      <c r="N194" t="s">
        <v>59</v>
      </c>
      <c r="O194" t="s">
        <v>60</v>
      </c>
      <c r="P194" t="s">
        <v>63</v>
      </c>
      <c r="Q194" t="s">
        <v>64</v>
      </c>
      <c r="R194" t="s">
        <v>164</v>
      </c>
      <c r="S194" s="12">
        <v>46218.3333333333</v>
      </c>
      <c r="T194" s="12">
        <v>46218.36875</v>
      </c>
      <c r="U194" s="12">
        <v>46218.4416666667</v>
      </c>
      <c r="V194" t="s">
        <v>170</v>
      </c>
      <c r="W194" s="7">
        <v>0.85</v>
      </c>
      <c r="X194" s="7">
        <v>0</v>
      </c>
      <c r="Y194" s="8">
        <v>21.25</v>
      </c>
      <c r="Z194" s="8">
        <v>11</v>
      </c>
      <c r="AA194" s="8">
        <v>0.5</v>
      </c>
      <c r="AB194" s="8">
        <v>5</v>
      </c>
      <c r="AC194" s="8">
        <v>37.75</v>
      </c>
      <c r="AD194" s="8">
        <v>54.74</v>
      </c>
      <c r="AE194" s="8">
        <v>16.99</v>
      </c>
      <c r="AF194" t="s">
        <v>20</v>
      </c>
    </row>
    <row r="195" spans="1:32">
      <c r="A195" t="s">
        <v>573</v>
      </c>
      <c r="B195" s="10">
        <v>46225</v>
      </c>
      <c r="C195">
        <v>30</v>
      </c>
      <c r="D195" t="s">
        <v>212</v>
      </c>
      <c r="E195" t="s">
        <v>574</v>
      </c>
      <c r="F195" t="s">
        <v>128</v>
      </c>
      <c r="G195" t="s">
        <v>97</v>
      </c>
      <c r="H195" t="s">
        <v>130</v>
      </c>
      <c r="I195">
        <v>70000</v>
      </c>
      <c r="J195" t="s">
        <v>117</v>
      </c>
      <c r="K195" s="7">
        <v>2.91</v>
      </c>
      <c r="L195" s="11">
        <v>0.82</v>
      </c>
      <c r="M195" s="7">
        <v>3.55</v>
      </c>
      <c r="N195" t="s">
        <v>57</v>
      </c>
      <c r="O195" t="s">
        <v>58</v>
      </c>
      <c r="P195" t="s">
        <v>66</v>
      </c>
      <c r="Q195" t="s">
        <v>67</v>
      </c>
      <c r="R195" t="s">
        <v>169</v>
      </c>
      <c r="S195" s="12">
        <v>46225.4166666667</v>
      </c>
      <c r="T195" s="12">
        <v>46225.60625</v>
      </c>
      <c r="U195" s="12">
        <v>46225.6791666667</v>
      </c>
      <c r="V195" t="s">
        <v>6</v>
      </c>
      <c r="W195" s="7">
        <v>3.55</v>
      </c>
      <c r="X195" s="7">
        <v>0</v>
      </c>
      <c r="Y195" s="8">
        <v>88.75</v>
      </c>
      <c r="Z195" s="8">
        <v>11</v>
      </c>
      <c r="AA195" s="8">
        <v>0.5</v>
      </c>
      <c r="AB195" s="8">
        <v>5</v>
      </c>
      <c r="AC195" s="8">
        <v>105.25</v>
      </c>
      <c r="AD195" s="8">
        <v>152.61</v>
      </c>
      <c r="AE195" s="8">
        <v>47.36</v>
      </c>
      <c r="AF195" t="s">
        <v>20</v>
      </c>
    </row>
    <row r="196" spans="1:32">
      <c r="A196" t="s">
        <v>575</v>
      </c>
      <c r="B196" s="10">
        <v>46217</v>
      </c>
      <c r="C196">
        <v>29</v>
      </c>
      <c r="D196" t="s">
        <v>207</v>
      </c>
      <c r="E196" t="s">
        <v>576</v>
      </c>
      <c r="F196" t="s">
        <v>128</v>
      </c>
      <c r="G196" t="s">
        <v>78</v>
      </c>
      <c r="H196" t="s">
        <v>127</v>
      </c>
      <c r="I196">
        <v>70000</v>
      </c>
      <c r="J196" t="s">
        <v>117</v>
      </c>
      <c r="K196" s="7">
        <v>3.03</v>
      </c>
      <c r="L196" s="11">
        <v>0.82</v>
      </c>
      <c r="M196" s="7">
        <v>3.7</v>
      </c>
      <c r="N196" t="s">
        <v>59</v>
      </c>
      <c r="O196" t="s">
        <v>60</v>
      </c>
      <c r="P196" t="s">
        <v>63</v>
      </c>
      <c r="Q196" t="s">
        <v>64</v>
      </c>
      <c r="R196" t="s">
        <v>174</v>
      </c>
      <c r="S196" s="12">
        <v>46217.5833333333</v>
      </c>
      <c r="T196" s="12">
        <v>46217.7375</v>
      </c>
      <c r="U196" s="12">
        <v>46217.8104166667</v>
      </c>
      <c r="V196" t="s">
        <v>165</v>
      </c>
      <c r="W196" s="7">
        <v>3.5</v>
      </c>
      <c r="X196" s="7">
        <v>0.2</v>
      </c>
      <c r="Y196" s="8">
        <v>92.5</v>
      </c>
      <c r="Z196" s="8">
        <v>11</v>
      </c>
      <c r="AA196" s="8">
        <v>0.5</v>
      </c>
      <c r="AB196" s="8">
        <v>5</v>
      </c>
      <c r="AC196" s="8">
        <v>109</v>
      </c>
      <c r="AD196" s="8">
        <v>158.05</v>
      </c>
      <c r="AE196" s="8">
        <v>49.05</v>
      </c>
      <c r="AF196" t="s">
        <v>20</v>
      </c>
    </row>
    <row r="197" spans="1:32">
      <c r="A197" t="s">
        <v>577</v>
      </c>
      <c r="B197" s="10">
        <v>46226</v>
      </c>
      <c r="C197">
        <v>30</v>
      </c>
      <c r="D197" t="s">
        <v>188</v>
      </c>
      <c r="E197" t="s">
        <v>578</v>
      </c>
      <c r="F197" t="s">
        <v>128</v>
      </c>
      <c r="G197" t="s">
        <v>85</v>
      </c>
      <c r="H197" t="s">
        <v>130</v>
      </c>
      <c r="I197">
        <v>95000</v>
      </c>
      <c r="J197" t="s">
        <v>122</v>
      </c>
      <c r="K197" s="7">
        <v>0.5</v>
      </c>
      <c r="L197" s="11">
        <v>0.82</v>
      </c>
      <c r="M197" s="7">
        <v>0.61</v>
      </c>
      <c r="N197" t="s">
        <v>59</v>
      </c>
      <c r="O197" t="s">
        <v>60</v>
      </c>
      <c r="P197" t="s">
        <v>66</v>
      </c>
      <c r="Q197" t="s">
        <v>67</v>
      </c>
      <c r="R197" t="s">
        <v>178</v>
      </c>
      <c r="S197" s="12">
        <v>46226.6458333333</v>
      </c>
      <c r="T197" s="12">
        <v>46226.67125</v>
      </c>
      <c r="U197" s="12">
        <v>46226.7441666667</v>
      </c>
      <c r="V197" t="s">
        <v>165</v>
      </c>
      <c r="W197" s="7">
        <v>0.61</v>
      </c>
      <c r="X197" s="7">
        <v>0</v>
      </c>
      <c r="Y197" s="8">
        <v>15.25</v>
      </c>
      <c r="Z197" s="8">
        <v>11</v>
      </c>
      <c r="AA197" s="8">
        <v>0.5</v>
      </c>
      <c r="AB197" s="8">
        <v>5</v>
      </c>
      <c r="AC197" s="8">
        <v>31.75</v>
      </c>
      <c r="AD197" s="8">
        <v>46.04</v>
      </c>
      <c r="AE197" s="8">
        <v>14.29</v>
      </c>
      <c r="AF197" t="s">
        <v>20</v>
      </c>
    </row>
    <row r="198" spans="1:32">
      <c r="A198" t="s">
        <v>579</v>
      </c>
      <c r="B198" s="10">
        <v>46226</v>
      </c>
      <c r="C198">
        <v>30</v>
      </c>
      <c r="D198" t="s">
        <v>194</v>
      </c>
      <c r="E198" t="s">
        <v>580</v>
      </c>
      <c r="F198" t="s">
        <v>128</v>
      </c>
      <c r="G198" t="s">
        <v>97</v>
      </c>
      <c r="H198" t="s">
        <v>130</v>
      </c>
      <c r="I198">
        <v>50000</v>
      </c>
      <c r="J198" t="s">
        <v>113</v>
      </c>
      <c r="K198" s="7">
        <v>3.61</v>
      </c>
      <c r="L198" s="11">
        <v>0.82</v>
      </c>
      <c r="M198" s="7">
        <v>4.4</v>
      </c>
      <c r="N198" t="s">
        <v>59</v>
      </c>
      <c r="O198" t="s">
        <v>60</v>
      </c>
      <c r="P198" t="s">
        <v>63</v>
      </c>
      <c r="Q198" t="s">
        <v>64</v>
      </c>
      <c r="R198" t="s">
        <v>181</v>
      </c>
      <c r="S198" s="12">
        <v>46226.3333333333</v>
      </c>
      <c r="T198" s="12">
        <v>46226.5166666667</v>
      </c>
      <c r="U198" s="12">
        <v>46226.5895833333</v>
      </c>
      <c r="V198" t="s">
        <v>170</v>
      </c>
      <c r="W198" s="7">
        <v>4.4</v>
      </c>
      <c r="X198" s="7">
        <v>0</v>
      </c>
      <c r="Y198" s="8">
        <v>110</v>
      </c>
      <c r="Z198" s="8">
        <v>11</v>
      </c>
      <c r="AA198" s="8">
        <v>0.5</v>
      </c>
      <c r="AB198" s="8">
        <v>5</v>
      </c>
      <c r="AC198" s="8">
        <v>126.5</v>
      </c>
      <c r="AD198" s="8">
        <v>183.42</v>
      </c>
      <c r="AE198" s="8">
        <v>56.92</v>
      </c>
      <c r="AF198" t="s">
        <v>20</v>
      </c>
    </row>
    <row r="199" spans="1:32">
      <c r="A199" t="s">
        <v>581</v>
      </c>
      <c r="B199" s="10">
        <v>46225</v>
      </c>
      <c r="C199">
        <v>30</v>
      </c>
      <c r="D199" t="s">
        <v>188</v>
      </c>
      <c r="E199" t="s">
        <v>582</v>
      </c>
      <c r="F199" t="s">
        <v>128</v>
      </c>
      <c r="G199" t="s">
        <v>79</v>
      </c>
      <c r="H199" t="s">
        <v>127</v>
      </c>
      <c r="I199">
        <v>5000</v>
      </c>
      <c r="J199" t="s">
        <v>104</v>
      </c>
      <c r="K199" s="7">
        <v>0.7</v>
      </c>
      <c r="L199" s="11">
        <v>0.82</v>
      </c>
      <c r="M199" s="7">
        <v>0.85</v>
      </c>
      <c r="N199" t="s">
        <v>53</v>
      </c>
      <c r="O199" t="s">
        <v>54</v>
      </c>
      <c r="P199" t="s">
        <v>63</v>
      </c>
      <c r="Q199" t="s">
        <v>64</v>
      </c>
      <c r="R199" t="s">
        <v>184</v>
      </c>
      <c r="S199" s="12">
        <v>46225.4166666667</v>
      </c>
      <c r="T199" s="12">
        <v>46225.4520833333</v>
      </c>
      <c r="U199" s="12">
        <v>46225.525</v>
      </c>
      <c r="V199" t="s">
        <v>170</v>
      </c>
      <c r="W199" s="7">
        <v>0.85</v>
      </c>
      <c r="X199" s="7">
        <v>0</v>
      </c>
      <c r="Y199" s="8">
        <v>21.25</v>
      </c>
      <c r="Z199" s="8">
        <v>11</v>
      </c>
      <c r="AA199" s="8">
        <v>0.5</v>
      </c>
      <c r="AB199" s="8">
        <v>5</v>
      </c>
      <c r="AC199" s="8">
        <v>37.75</v>
      </c>
      <c r="AD199" s="8">
        <v>54.74</v>
      </c>
      <c r="AE199" s="8">
        <v>16.99</v>
      </c>
      <c r="AF199" t="s">
        <v>20</v>
      </c>
    </row>
    <row r="200" spans="1:32">
      <c r="A200" t="s">
        <v>583</v>
      </c>
      <c r="B200" s="10">
        <v>46216</v>
      </c>
      <c r="C200">
        <v>29</v>
      </c>
      <c r="D200" t="s">
        <v>167</v>
      </c>
      <c r="E200" t="s">
        <v>584</v>
      </c>
      <c r="F200" t="s">
        <v>128</v>
      </c>
      <c r="G200" t="s">
        <v>101</v>
      </c>
      <c r="H200" t="s">
        <v>131</v>
      </c>
      <c r="I200">
        <v>75000</v>
      </c>
      <c r="J200" t="s">
        <v>118</v>
      </c>
      <c r="K200" s="7">
        <v>1.5</v>
      </c>
      <c r="L200" s="11">
        <v>0.82</v>
      </c>
      <c r="M200" s="7">
        <v>1.83</v>
      </c>
      <c r="N200" t="s">
        <v>53</v>
      </c>
      <c r="O200" t="s">
        <v>54</v>
      </c>
      <c r="P200" t="s">
        <v>63</v>
      </c>
      <c r="Q200" t="s">
        <v>64</v>
      </c>
      <c r="R200" t="s">
        <v>164</v>
      </c>
      <c r="S200" s="12">
        <v>46216.5833333333</v>
      </c>
      <c r="T200" s="12">
        <v>46216.6595833333</v>
      </c>
      <c r="U200" s="12">
        <v>46216.7325</v>
      </c>
      <c r="V200" t="s">
        <v>165</v>
      </c>
      <c r="W200" s="7">
        <v>1.83</v>
      </c>
      <c r="X200" s="7">
        <v>0</v>
      </c>
      <c r="Y200" s="8">
        <v>45.75</v>
      </c>
      <c r="Z200" s="8">
        <v>11</v>
      </c>
      <c r="AA200" s="8">
        <v>0.5</v>
      </c>
      <c r="AB200" s="8">
        <v>5</v>
      </c>
      <c r="AC200" s="8">
        <v>62.25</v>
      </c>
      <c r="AD200" s="8">
        <v>90.26</v>
      </c>
      <c r="AE200" s="8">
        <v>28.01</v>
      </c>
      <c r="AF200" t="s">
        <v>20</v>
      </c>
    </row>
    <row r="201" spans="1:32">
      <c r="A201" t="s">
        <v>585</v>
      </c>
      <c r="B201" s="10">
        <v>46226</v>
      </c>
      <c r="C201">
        <v>30</v>
      </c>
      <c r="D201" t="s">
        <v>162</v>
      </c>
      <c r="E201" t="s">
        <v>586</v>
      </c>
      <c r="F201" t="s">
        <v>128</v>
      </c>
      <c r="G201" t="s">
        <v>101</v>
      </c>
      <c r="H201" t="s">
        <v>131</v>
      </c>
      <c r="I201">
        <v>1500</v>
      </c>
      <c r="J201" t="s">
        <v>103</v>
      </c>
      <c r="K201" s="7">
        <v>0.6</v>
      </c>
      <c r="L201" s="11">
        <v>0.82</v>
      </c>
      <c r="M201" s="7">
        <v>0.73</v>
      </c>
      <c r="N201" t="s">
        <v>55</v>
      </c>
      <c r="O201" t="s">
        <v>56</v>
      </c>
      <c r="P201" t="s">
        <v>66</v>
      </c>
      <c r="Q201" t="s">
        <v>67</v>
      </c>
      <c r="R201" t="s">
        <v>169</v>
      </c>
      <c r="S201" s="12">
        <v>46226.6458333333</v>
      </c>
      <c r="T201" s="12">
        <v>46226.67625</v>
      </c>
      <c r="U201" s="12">
        <v>46226.7491666667</v>
      </c>
      <c r="V201" t="s">
        <v>201</v>
      </c>
      <c r="W201" s="7">
        <v>0.73</v>
      </c>
      <c r="X201" s="7">
        <v>0</v>
      </c>
      <c r="Y201" s="8">
        <v>18.25</v>
      </c>
      <c r="Z201" s="8">
        <v>11</v>
      </c>
      <c r="AA201" s="8">
        <v>0.5</v>
      </c>
      <c r="AB201" s="8">
        <v>5</v>
      </c>
      <c r="AC201" s="8">
        <v>34.75</v>
      </c>
      <c r="AD201" s="8">
        <v>50.39</v>
      </c>
      <c r="AE201" s="8">
        <v>15.64</v>
      </c>
      <c r="AF201" t="s">
        <v>20</v>
      </c>
    </row>
    <row r="202" spans="1:32">
      <c r="A202" t="s">
        <v>587</v>
      </c>
      <c r="B202" s="10">
        <v>46227</v>
      </c>
      <c r="C202">
        <v>30</v>
      </c>
      <c r="D202" t="s">
        <v>172</v>
      </c>
      <c r="E202" t="s">
        <v>588</v>
      </c>
      <c r="F202" t="s">
        <v>128</v>
      </c>
      <c r="G202" t="s">
        <v>87</v>
      </c>
      <c r="H202" t="s">
        <v>130</v>
      </c>
      <c r="I202">
        <v>40000</v>
      </c>
      <c r="J202" t="s">
        <v>111</v>
      </c>
      <c r="K202" s="7">
        <v>4.66</v>
      </c>
      <c r="L202" s="11">
        <v>0.82</v>
      </c>
      <c r="M202" s="7">
        <v>5.68</v>
      </c>
      <c r="N202" t="s">
        <v>50</v>
      </c>
      <c r="O202" t="s">
        <v>51</v>
      </c>
      <c r="P202" t="s">
        <v>66</v>
      </c>
      <c r="Q202" t="s">
        <v>67</v>
      </c>
      <c r="R202" t="s">
        <v>174</v>
      </c>
      <c r="S202" s="12">
        <v>46227.3333333333</v>
      </c>
      <c r="T202" s="12">
        <v>46227.6116666667</v>
      </c>
      <c r="U202" s="12">
        <v>46227.6845833333</v>
      </c>
      <c r="V202" t="s">
        <v>170</v>
      </c>
      <c r="W202" s="7">
        <v>5.68</v>
      </c>
      <c r="X202" s="7">
        <v>0</v>
      </c>
      <c r="Y202" s="8">
        <v>142</v>
      </c>
      <c r="Z202" s="8">
        <v>11</v>
      </c>
      <c r="AA202" s="8">
        <v>0.5</v>
      </c>
      <c r="AB202" s="8">
        <v>5</v>
      </c>
      <c r="AC202" s="8">
        <v>158.5</v>
      </c>
      <c r="AD202" s="8">
        <v>229.82</v>
      </c>
      <c r="AE202" s="8">
        <v>71.32</v>
      </c>
      <c r="AF202" t="s">
        <v>20</v>
      </c>
    </row>
    <row r="203" spans="1:32">
      <c r="A203" t="s">
        <v>589</v>
      </c>
      <c r="B203" s="10">
        <v>46220</v>
      </c>
      <c r="C203">
        <v>29</v>
      </c>
      <c r="D203" t="s">
        <v>224</v>
      </c>
      <c r="E203" t="s">
        <v>590</v>
      </c>
      <c r="F203" t="s">
        <v>128</v>
      </c>
      <c r="G203" t="s">
        <v>94</v>
      </c>
      <c r="H203" t="s">
        <v>130</v>
      </c>
      <c r="I203">
        <v>35000</v>
      </c>
      <c r="J203" t="s">
        <v>110</v>
      </c>
      <c r="K203" s="7">
        <v>0.5</v>
      </c>
      <c r="L203" s="11">
        <v>0.82</v>
      </c>
      <c r="M203" s="7">
        <v>0.61</v>
      </c>
      <c r="N203" t="s">
        <v>57</v>
      </c>
      <c r="O203" t="s">
        <v>58</v>
      </c>
      <c r="P203" t="s">
        <v>63</v>
      </c>
      <c r="Q203" t="s">
        <v>64</v>
      </c>
      <c r="R203" t="s">
        <v>178</v>
      </c>
      <c r="S203" s="12">
        <v>46220.4166666667</v>
      </c>
      <c r="T203" s="12">
        <v>46220.4420833333</v>
      </c>
      <c r="U203" s="12">
        <v>46220.515</v>
      </c>
      <c r="V203" t="s">
        <v>201</v>
      </c>
      <c r="W203" s="7">
        <v>0.61</v>
      </c>
      <c r="X203" s="7">
        <v>0</v>
      </c>
      <c r="Y203" s="8">
        <v>15.25</v>
      </c>
      <c r="Z203" s="8">
        <v>11</v>
      </c>
      <c r="AA203" s="8">
        <v>0.5</v>
      </c>
      <c r="AB203" s="8">
        <v>5</v>
      </c>
      <c r="AC203" s="8">
        <v>31.75</v>
      </c>
      <c r="AD203" s="8">
        <v>46.04</v>
      </c>
      <c r="AE203" s="8">
        <v>14.29</v>
      </c>
      <c r="AF203" t="s">
        <v>20</v>
      </c>
    </row>
    <row r="204" spans="1:32">
      <c r="A204" t="s">
        <v>591</v>
      </c>
      <c r="B204" s="10">
        <v>46224</v>
      </c>
      <c r="C204">
        <v>30</v>
      </c>
      <c r="D204" t="s">
        <v>212</v>
      </c>
      <c r="E204" t="s">
        <v>592</v>
      </c>
      <c r="F204" t="s">
        <v>128</v>
      </c>
      <c r="G204" t="s">
        <v>98</v>
      </c>
      <c r="H204" t="s">
        <v>130</v>
      </c>
      <c r="I204">
        <v>60000</v>
      </c>
      <c r="J204" t="s">
        <v>115</v>
      </c>
      <c r="K204" s="7">
        <v>12.16</v>
      </c>
      <c r="L204" s="11">
        <v>0.82</v>
      </c>
      <c r="M204" s="7">
        <v>14.83</v>
      </c>
      <c r="N204" t="s">
        <v>50</v>
      </c>
      <c r="O204" t="s">
        <v>51</v>
      </c>
      <c r="P204" t="s">
        <v>66</v>
      </c>
      <c r="Q204" t="s">
        <v>67</v>
      </c>
      <c r="R204" t="s">
        <v>181</v>
      </c>
      <c r="S204" s="12">
        <v>46224.5833333333</v>
      </c>
      <c r="T204" s="12">
        <v>46225.20125</v>
      </c>
      <c r="U204" s="12">
        <v>46225.2741666667</v>
      </c>
      <c r="V204" t="s">
        <v>170</v>
      </c>
      <c r="W204" s="7">
        <v>11.83</v>
      </c>
      <c r="X204" s="7">
        <v>3</v>
      </c>
      <c r="Y204" s="8">
        <v>370.75</v>
      </c>
      <c r="Z204" s="8">
        <v>11</v>
      </c>
      <c r="AA204" s="8">
        <v>0.5</v>
      </c>
      <c r="AB204" s="8">
        <v>5</v>
      </c>
      <c r="AC204" s="8">
        <v>387.25</v>
      </c>
      <c r="AD204" s="8">
        <v>561.51</v>
      </c>
      <c r="AE204" s="8">
        <v>174.26</v>
      </c>
      <c r="AF204" t="s">
        <v>20</v>
      </c>
    </row>
    <row r="205" spans="1:32">
      <c r="A205" t="s">
        <v>593</v>
      </c>
      <c r="B205" s="10">
        <v>46223</v>
      </c>
      <c r="C205">
        <v>30</v>
      </c>
      <c r="D205" t="s">
        <v>199</v>
      </c>
      <c r="E205" t="s">
        <v>594</v>
      </c>
      <c r="F205" t="s">
        <v>128</v>
      </c>
      <c r="G205" t="s">
        <v>93</v>
      </c>
      <c r="H205" t="s">
        <v>130</v>
      </c>
      <c r="I205">
        <v>65000</v>
      </c>
      <c r="J205" t="s">
        <v>116</v>
      </c>
      <c r="K205" s="7">
        <v>0.5</v>
      </c>
      <c r="L205" s="11">
        <v>0.82</v>
      </c>
      <c r="M205" s="7">
        <v>0.61</v>
      </c>
      <c r="N205" t="s">
        <v>53</v>
      </c>
      <c r="O205" t="s">
        <v>54</v>
      </c>
      <c r="P205" t="s">
        <v>63</v>
      </c>
      <c r="Q205" t="s">
        <v>64</v>
      </c>
      <c r="R205" t="s">
        <v>184</v>
      </c>
      <c r="S205" s="12">
        <v>46223.6458333333</v>
      </c>
      <c r="T205" s="12">
        <v>46223.67125</v>
      </c>
      <c r="U205" s="12">
        <v>46223.7441666667</v>
      </c>
      <c r="V205" t="s">
        <v>201</v>
      </c>
      <c r="W205" s="7">
        <v>0.61</v>
      </c>
      <c r="X205" s="7">
        <v>0</v>
      </c>
      <c r="Y205" s="8">
        <v>15.25</v>
      </c>
      <c r="Z205" s="8">
        <v>11</v>
      </c>
      <c r="AA205" s="8">
        <v>0.5</v>
      </c>
      <c r="AB205" s="8">
        <v>5</v>
      </c>
      <c r="AC205" s="8">
        <v>31.75</v>
      </c>
      <c r="AD205" s="8">
        <v>46.04</v>
      </c>
      <c r="AE205" s="8">
        <v>14.29</v>
      </c>
      <c r="AF205" t="s">
        <v>20</v>
      </c>
    </row>
    <row r="206" spans="1:32">
      <c r="A206" t="s">
        <v>595</v>
      </c>
      <c r="B206" s="10">
        <v>46217</v>
      </c>
      <c r="C206">
        <v>29</v>
      </c>
      <c r="D206" t="s">
        <v>297</v>
      </c>
      <c r="E206" t="s">
        <v>596</v>
      </c>
      <c r="F206" t="s">
        <v>128</v>
      </c>
      <c r="G206" t="s">
        <v>75</v>
      </c>
      <c r="H206" t="s">
        <v>127</v>
      </c>
      <c r="I206">
        <v>30000</v>
      </c>
      <c r="J206" t="s">
        <v>109</v>
      </c>
      <c r="K206" s="7">
        <v>3.83</v>
      </c>
      <c r="L206" s="11">
        <v>0.82</v>
      </c>
      <c r="M206" s="7">
        <v>4.67</v>
      </c>
      <c r="N206" t="s">
        <v>57</v>
      </c>
      <c r="O206" t="s">
        <v>58</v>
      </c>
      <c r="P206" t="s">
        <v>66</v>
      </c>
      <c r="Q206" t="s">
        <v>67</v>
      </c>
      <c r="R206" t="s">
        <v>164</v>
      </c>
      <c r="S206" s="12">
        <v>46217.3333333333</v>
      </c>
      <c r="T206" s="12">
        <v>46217.5279166667</v>
      </c>
      <c r="U206" s="12">
        <v>46217.6008333333</v>
      </c>
      <c r="V206" t="s">
        <v>201</v>
      </c>
      <c r="W206" s="7">
        <v>4.67</v>
      </c>
      <c r="X206" s="7">
        <v>0</v>
      </c>
      <c r="Y206" s="8">
        <v>116.75</v>
      </c>
      <c r="Z206" s="8">
        <v>11</v>
      </c>
      <c r="AA206" s="8">
        <v>0.5</v>
      </c>
      <c r="AB206" s="8">
        <v>5</v>
      </c>
      <c r="AC206" s="8">
        <v>133.25</v>
      </c>
      <c r="AD206" s="8">
        <v>193.21</v>
      </c>
      <c r="AE206" s="8">
        <v>59.96</v>
      </c>
      <c r="AF206" t="s">
        <v>20</v>
      </c>
    </row>
    <row r="207" spans="1:32">
      <c r="A207" t="s">
        <v>597</v>
      </c>
      <c r="B207" s="10">
        <v>46230</v>
      </c>
      <c r="C207">
        <v>31</v>
      </c>
      <c r="D207" t="s">
        <v>176</v>
      </c>
      <c r="E207" t="s">
        <v>598</v>
      </c>
      <c r="F207" t="s">
        <v>128</v>
      </c>
      <c r="G207" t="s">
        <v>101</v>
      </c>
      <c r="H207" t="s">
        <v>131</v>
      </c>
      <c r="I207">
        <v>10000</v>
      </c>
      <c r="J207" t="s">
        <v>105</v>
      </c>
      <c r="K207" s="7">
        <v>3.16</v>
      </c>
      <c r="L207" s="11">
        <v>0.82</v>
      </c>
      <c r="M207" s="7">
        <v>3.85</v>
      </c>
      <c r="N207" t="s">
        <v>50</v>
      </c>
      <c r="O207" t="s">
        <v>51</v>
      </c>
      <c r="P207" t="s">
        <v>66</v>
      </c>
      <c r="Q207" t="s">
        <v>67</v>
      </c>
      <c r="R207" t="s">
        <v>169</v>
      </c>
      <c r="S207" s="12">
        <v>46230.4166666667</v>
      </c>
      <c r="T207" s="12">
        <v>46230.61875</v>
      </c>
      <c r="U207" s="12">
        <v>46230.6916666667</v>
      </c>
      <c r="V207" t="s">
        <v>165</v>
      </c>
      <c r="W207" s="7">
        <v>3.85</v>
      </c>
      <c r="X207" s="7">
        <v>0</v>
      </c>
      <c r="Y207" s="8">
        <v>96.25</v>
      </c>
      <c r="Z207" s="8">
        <v>11</v>
      </c>
      <c r="AA207" s="8">
        <v>0.5</v>
      </c>
      <c r="AB207" s="8">
        <v>5</v>
      </c>
      <c r="AC207" s="8">
        <v>112.75</v>
      </c>
      <c r="AD207" s="8">
        <v>163.49</v>
      </c>
      <c r="AE207" s="8">
        <v>50.74</v>
      </c>
      <c r="AF207" t="s">
        <v>20</v>
      </c>
    </row>
    <row r="208" spans="1:32">
      <c r="A208" t="s">
        <v>599</v>
      </c>
      <c r="B208" s="10">
        <v>46216</v>
      </c>
      <c r="C208">
        <v>29</v>
      </c>
      <c r="D208" t="s">
        <v>199</v>
      </c>
      <c r="E208" t="s">
        <v>600</v>
      </c>
      <c r="F208" t="s">
        <v>128</v>
      </c>
      <c r="G208" t="s">
        <v>99</v>
      </c>
      <c r="H208" t="s">
        <v>130</v>
      </c>
      <c r="I208">
        <v>30000</v>
      </c>
      <c r="J208" t="s">
        <v>109</v>
      </c>
      <c r="K208" s="7">
        <v>6.06</v>
      </c>
      <c r="L208" s="11">
        <v>0.82</v>
      </c>
      <c r="M208" s="7">
        <v>7.39</v>
      </c>
      <c r="N208" t="s">
        <v>50</v>
      </c>
      <c r="O208" t="s">
        <v>51</v>
      </c>
      <c r="P208" t="s">
        <v>66</v>
      </c>
      <c r="Q208" t="s">
        <v>67</v>
      </c>
      <c r="R208" t="s">
        <v>174</v>
      </c>
      <c r="S208" s="12">
        <v>46216.5833333333</v>
      </c>
      <c r="T208" s="12">
        <v>46216.89125</v>
      </c>
      <c r="U208" s="12">
        <v>46216.9641666667</v>
      </c>
      <c r="V208" t="s">
        <v>165</v>
      </c>
      <c r="W208" s="7">
        <v>4.39</v>
      </c>
      <c r="X208" s="7">
        <v>3</v>
      </c>
      <c r="Y208" s="8">
        <v>184.75</v>
      </c>
      <c r="Z208" s="8">
        <v>11</v>
      </c>
      <c r="AA208" s="8">
        <v>0.5</v>
      </c>
      <c r="AB208" s="8">
        <v>5</v>
      </c>
      <c r="AC208" s="8">
        <v>201.25</v>
      </c>
      <c r="AD208" s="8">
        <v>291.81</v>
      </c>
      <c r="AE208" s="8">
        <v>90.56</v>
      </c>
      <c r="AF208" t="s">
        <v>20</v>
      </c>
    </row>
    <row r="209" spans="1:32">
      <c r="A209" t="s">
        <v>601</v>
      </c>
      <c r="B209" s="10">
        <v>46226</v>
      </c>
      <c r="C209">
        <v>30</v>
      </c>
      <c r="D209" t="s">
        <v>224</v>
      </c>
      <c r="E209" t="s">
        <v>602</v>
      </c>
      <c r="F209" t="s">
        <v>128</v>
      </c>
      <c r="G209" t="s">
        <v>100</v>
      </c>
      <c r="H209" t="s">
        <v>130</v>
      </c>
      <c r="I209">
        <v>50000</v>
      </c>
      <c r="J209" t="s">
        <v>113</v>
      </c>
      <c r="K209" s="7">
        <v>3.91</v>
      </c>
      <c r="L209" s="11">
        <v>0.82</v>
      </c>
      <c r="M209" s="7">
        <v>4.77</v>
      </c>
      <c r="N209" t="s">
        <v>55</v>
      </c>
      <c r="O209" t="s">
        <v>56</v>
      </c>
      <c r="P209" t="s">
        <v>63</v>
      </c>
      <c r="Q209" t="s">
        <v>64</v>
      </c>
      <c r="R209" t="s">
        <v>178</v>
      </c>
      <c r="S209" s="12">
        <v>46226.6458333333</v>
      </c>
      <c r="T209" s="12">
        <v>46226.8445833333</v>
      </c>
      <c r="U209" s="12">
        <v>46226.9175</v>
      </c>
      <c r="V209" t="s">
        <v>165</v>
      </c>
      <c r="W209" s="7">
        <v>2</v>
      </c>
      <c r="X209" s="7">
        <v>2.77</v>
      </c>
      <c r="Y209" s="8">
        <v>119.25</v>
      </c>
      <c r="Z209" s="8">
        <v>11</v>
      </c>
      <c r="AA209" s="8">
        <v>0.5</v>
      </c>
      <c r="AB209" s="8">
        <v>5</v>
      </c>
      <c r="AC209" s="8">
        <v>135.75</v>
      </c>
      <c r="AD209" s="8">
        <v>196.84</v>
      </c>
      <c r="AE209" s="8">
        <v>61.09</v>
      </c>
      <c r="AF209" t="s">
        <v>20</v>
      </c>
    </row>
    <row r="210" spans="1:32">
      <c r="A210" t="s">
        <v>603</v>
      </c>
      <c r="B210" s="10">
        <v>46217</v>
      </c>
      <c r="C210">
        <v>29</v>
      </c>
      <c r="D210" t="s">
        <v>162</v>
      </c>
      <c r="E210" t="s">
        <v>604</v>
      </c>
      <c r="F210" t="s">
        <v>128</v>
      </c>
      <c r="G210" t="s">
        <v>80</v>
      </c>
      <c r="H210" t="s">
        <v>127</v>
      </c>
      <c r="I210">
        <v>60000</v>
      </c>
      <c r="J210" t="s">
        <v>115</v>
      </c>
      <c r="K210" s="7">
        <v>8.6</v>
      </c>
      <c r="L210" s="11">
        <v>0.82</v>
      </c>
      <c r="M210" s="7">
        <v>10.49</v>
      </c>
      <c r="N210" t="s">
        <v>53</v>
      </c>
      <c r="O210" t="s">
        <v>54</v>
      </c>
      <c r="P210" t="s">
        <v>63</v>
      </c>
      <c r="Q210" t="s">
        <v>64</v>
      </c>
      <c r="R210" t="s">
        <v>181</v>
      </c>
      <c r="S210" s="12">
        <v>46217.3333333333</v>
      </c>
      <c r="T210" s="12">
        <v>46217.8120833333</v>
      </c>
      <c r="U210" s="12">
        <v>46217.885</v>
      </c>
      <c r="V210" t="s">
        <v>165</v>
      </c>
      <c r="W210" s="7">
        <v>8.5</v>
      </c>
      <c r="X210" s="7">
        <v>1.99</v>
      </c>
      <c r="Y210" s="8">
        <v>262.25</v>
      </c>
      <c r="Z210" s="8">
        <v>11</v>
      </c>
      <c r="AA210" s="8">
        <v>0.5</v>
      </c>
      <c r="AB210" s="8">
        <v>5</v>
      </c>
      <c r="AC210" s="8">
        <v>278.75</v>
      </c>
      <c r="AD210" s="8">
        <v>404.19</v>
      </c>
      <c r="AE210" s="8">
        <v>125.44</v>
      </c>
      <c r="AF210" t="s">
        <v>20</v>
      </c>
    </row>
    <row r="211" spans="1:32">
      <c r="A211" t="s">
        <v>605</v>
      </c>
      <c r="B211" s="10">
        <v>46219</v>
      </c>
      <c r="C211">
        <v>29</v>
      </c>
      <c r="D211" t="s">
        <v>176</v>
      </c>
      <c r="E211" t="s">
        <v>606</v>
      </c>
      <c r="F211" t="s">
        <v>128</v>
      </c>
      <c r="G211" t="s">
        <v>92</v>
      </c>
      <c r="H211" t="s">
        <v>130</v>
      </c>
      <c r="I211">
        <v>20000</v>
      </c>
      <c r="J211" t="s">
        <v>107</v>
      </c>
      <c r="K211" s="7">
        <v>3.56</v>
      </c>
      <c r="L211" s="11">
        <v>0.82</v>
      </c>
      <c r="M211" s="7">
        <v>4.34</v>
      </c>
      <c r="N211" t="s">
        <v>59</v>
      </c>
      <c r="O211" t="s">
        <v>60</v>
      </c>
      <c r="P211" t="s">
        <v>66</v>
      </c>
      <c r="Q211" t="s">
        <v>67</v>
      </c>
      <c r="R211" t="s">
        <v>184</v>
      </c>
      <c r="S211" s="12">
        <v>46219.4166666667</v>
      </c>
      <c r="T211" s="12">
        <v>46219.6391666667</v>
      </c>
      <c r="U211" s="12">
        <v>46219.7120833333</v>
      </c>
      <c r="V211" t="s">
        <v>165</v>
      </c>
      <c r="W211" s="7">
        <v>4.34</v>
      </c>
      <c r="X211" s="7">
        <v>0</v>
      </c>
      <c r="Y211" s="8">
        <v>108.5</v>
      </c>
      <c r="Z211" s="8">
        <v>11</v>
      </c>
      <c r="AA211" s="8">
        <v>0.5</v>
      </c>
      <c r="AB211" s="8">
        <v>5</v>
      </c>
      <c r="AC211" s="8">
        <v>125</v>
      </c>
      <c r="AD211" s="8">
        <v>181.25</v>
      </c>
      <c r="AE211" s="8">
        <v>56.25</v>
      </c>
      <c r="AF211" t="s">
        <v>20</v>
      </c>
    </row>
    <row r="212" spans="1:32">
      <c r="A212" t="s">
        <v>607</v>
      </c>
      <c r="B212" s="10">
        <v>46220</v>
      </c>
      <c r="C212">
        <v>29</v>
      </c>
      <c r="D212" t="s">
        <v>207</v>
      </c>
      <c r="E212" t="s">
        <v>608</v>
      </c>
      <c r="F212" t="s">
        <v>128</v>
      </c>
      <c r="G212" t="s">
        <v>77</v>
      </c>
      <c r="H212" t="s">
        <v>127</v>
      </c>
      <c r="I212">
        <v>85000</v>
      </c>
      <c r="J212" t="s">
        <v>120</v>
      </c>
      <c r="K212" s="7">
        <v>0.5</v>
      </c>
      <c r="L212" s="11">
        <v>0.82</v>
      </c>
      <c r="M212" s="7">
        <v>0.61</v>
      </c>
      <c r="N212" t="s">
        <v>50</v>
      </c>
      <c r="O212" t="s">
        <v>51</v>
      </c>
      <c r="P212" t="s">
        <v>66</v>
      </c>
      <c r="Q212" t="s">
        <v>67</v>
      </c>
      <c r="R212" t="s">
        <v>164</v>
      </c>
      <c r="S212" s="12">
        <v>46220.5833333333</v>
      </c>
      <c r="T212" s="12">
        <v>46220.60875</v>
      </c>
      <c r="U212" s="12">
        <v>46220.6816666667</v>
      </c>
      <c r="V212" t="s">
        <v>165</v>
      </c>
      <c r="W212" s="7">
        <v>0.61</v>
      </c>
      <c r="X212" s="7">
        <v>0</v>
      </c>
      <c r="Y212" s="8">
        <v>15.25</v>
      </c>
      <c r="Z212" s="8">
        <v>11</v>
      </c>
      <c r="AA212" s="8">
        <v>0.5</v>
      </c>
      <c r="AB212" s="8">
        <v>5</v>
      </c>
      <c r="AC212" s="8">
        <v>31.75</v>
      </c>
      <c r="AD212" s="8">
        <v>46.04</v>
      </c>
      <c r="AE212" s="8">
        <v>14.29</v>
      </c>
      <c r="AF212" t="s">
        <v>20</v>
      </c>
    </row>
    <row r="213" spans="1:32">
      <c r="A213" t="s">
        <v>609</v>
      </c>
      <c r="B213" s="10">
        <v>46219</v>
      </c>
      <c r="C213">
        <v>29</v>
      </c>
      <c r="D213" t="s">
        <v>188</v>
      </c>
      <c r="E213" t="s">
        <v>610</v>
      </c>
      <c r="F213" t="s">
        <v>128</v>
      </c>
      <c r="G213" t="s">
        <v>101</v>
      </c>
      <c r="H213" t="s">
        <v>131</v>
      </c>
      <c r="I213">
        <v>5000</v>
      </c>
      <c r="J213" t="s">
        <v>104</v>
      </c>
      <c r="K213" s="7">
        <v>0.6</v>
      </c>
      <c r="L213" s="11">
        <v>0.82</v>
      </c>
      <c r="M213" s="7">
        <v>0.73</v>
      </c>
      <c r="N213" t="s">
        <v>55</v>
      </c>
      <c r="O213" t="s">
        <v>56</v>
      </c>
      <c r="P213" t="s">
        <v>63</v>
      </c>
      <c r="Q213" t="s">
        <v>64</v>
      </c>
      <c r="R213" t="s">
        <v>169</v>
      </c>
      <c r="S213" s="12">
        <v>46219.6458333333</v>
      </c>
      <c r="T213" s="12">
        <v>46219.67625</v>
      </c>
      <c r="U213" s="12">
        <v>46219.7491666667</v>
      </c>
      <c r="V213" t="s">
        <v>170</v>
      </c>
      <c r="W213" s="7">
        <v>0.73</v>
      </c>
      <c r="X213" s="7">
        <v>0</v>
      </c>
      <c r="Y213" s="8">
        <v>18.25</v>
      </c>
      <c r="Z213" s="8">
        <v>11</v>
      </c>
      <c r="AA213" s="8">
        <v>0.5</v>
      </c>
      <c r="AB213" s="8">
        <v>5</v>
      </c>
      <c r="AC213" s="8">
        <v>34.75</v>
      </c>
      <c r="AD213" s="8">
        <v>50.39</v>
      </c>
      <c r="AE213" s="8">
        <v>15.64</v>
      </c>
      <c r="AF213" t="s">
        <v>20</v>
      </c>
    </row>
    <row r="214" spans="1:32">
      <c r="A214" t="s">
        <v>611</v>
      </c>
      <c r="B214" s="10">
        <v>46226</v>
      </c>
      <c r="C214">
        <v>30</v>
      </c>
      <c r="D214" t="s">
        <v>227</v>
      </c>
      <c r="E214" t="s">
        <v>612</v>
      </c>
      <c r="F214" t="s">
        <v>128</v>
      </c>
      <c r="G214" t="s">
        <v>83</v>
      </c>
      <c r="H214" t="s">
        <v>130</v>
      </c>
      <c r="I214">
        <v>95000</v>
      </c>
      <c r="J214" t="s">
        <v>122</v>
      </c>
      <c r="K214" s="7">
        <v>0.5</v>
      </c>
      <c r="L214" s="11">
        <v>0.82</v>
      </c>
      <c r="M214" s="7">
        <v>0.61</v>
      </c>
      <c r="N214" t="s">
        <v>53</v>
      </c>
      <c r="O214" t="s">
        <v>54</v>
      </c>
      <c r="P214" t="s">
        <v>66</v>
      </c>
      <c r="Q214" t="s">
        <v>67</v>
      </c>
      <c r="R214" t="s">
        <v>174</v>
      </c>
      <c r="S214" s="12">
        <v>46226.3333333333</v>
      </c>
      <c r="T214" s="12">
        <v>46226.35875</v>
      </c>
      <c r="U214" s="12">
        <v>46226.4316666667</v>
      </c>
      <c r="V214" t="s">
        <v>6</v>
      </c>
      <c r="W214" s="7">
        <v>0.61</v>
      </c>
      <c r="X214" s="7">
        <v>0</v>
      </c>
      <c r="Y214" s="8">
        <v>15.25</v>
      </c>
      <c r="Z214" s="8">
        <v>11</v>
      </c>
      <c r="AA214" s="8">
        <v>0.5</v>
      </c>
      <c r="AB214" s="8">
        <v>5</v>
      </c>
      <c r="AC214" s="8">
        <v>31.75</v>
      </c>
      <c r="AD214" s="8">
        <v>46.04</v>
      </c>
      <c r="AE214" s="8">
        <v>14.29</v>
      </c>
      <c r="AF214" t="s">
        <v>20</v>
      </c>
    </row>
    <row r="215" spans="1:32">
      <c r="A215" t="s">
        <v>613</v>
      </c>
      <c r="B215" s="10">
        <v>46220</v>
      </c>
      <c r="C215">
        <v>29</v>
      </c>
      <c r="D215" t="s">
        <v>191</v>
      </c>
      <c r="E215" t="s">
        <v>614</v>
      </c>
      <c r="F215" t="s">
        <v>128</v>
      </c>
      <c r="G215" t="s">
        <v>98</v>
      </c>
      <c r="H215" t="s">
        <v>130</v>
      </c>
      <c r="I215">
        <v>10000</v>
      </c>
      <c r="J215" t="s">
        <v>105</v>
      </c>
      <c r="K215" s="7">
        <v>4.71</v>
      </c>
      <c r="L215" s="11">
        <v>0.82</v>
      </c>
      <c r="M215" s="7">
        <v>5.74</v>
      </c>
      <c r="N215" t="s">
        <v>57</v>
      </c>
      <c r="O215" t="s">
        <v>58</v>
      </c>
      <c r="P215" t="s">
        <v>63</v>
      </c>
      <c r="Q215" t="s">
        <v>64</v>
      </c>
      <c r="R215" t="s">
        <v>178</v>
      </c>
      <c r="S215" s="12">
        <v>46220.4166666667</v>
      </c>
      <c r="T215" s="12">
        <v>46220.6975</v>
      </c>
      <c r="U215" s="12">
        <v>46220.7704166667</v>
      </c>
      <c r="V215" t="s">
        <v>170</v>
      </c>
      <c r="W215" s="7">
        <v>5.74</v>
      </c>
      <c r="X215" s="7">
        <v>0</v>
      </c>
      <c r="Y215" s="8">
        <v>143.5</v>
      </c>
      <c r="Z215" s="8">
        <v>11</v>
      </c>
      <c r="AA215" s="8">
        <v>0.5</v>
      </c>
      <c r="AB215" s="8">
        <v>5</v>
      </c>
      <c r="AC215" s="8">
        <v>160</v>
      </c>
      <c r="AD215" s="8">
        <v>232</v>
      </c>
      <c r="AE215" s="8">
        <v>72</v>
      </c>
      <c r="AF215" t="s">
        <v>20</v>
      </c>
    </row>
    <row r="216" spans="1:32">
      <c r="A216" t="s">
        <v>615</v>
      </c>
      <c r="B216" s="10">
        <v>46220</v>
      </c>
      <c r="C216">
        <v>29</v>
      </c>
      <c r="D216" t="s">
        <v>176</v>
      </c>
      <c r="E216" t="s">
        <v>616</v>
      </c>
      <c r="F216" t="s">
        <v>128</v>
      </c>
      <c r="G216" t="s">
        <v>77</v>
      </c>
      <c r="H216" t="s">
        <v>127</v>
      </c>
      <c r="I216">
        <v>95000</v>
      </c>
      <c r="J216" t="s">
        <v>122</v>
      </c>
      <c r="K216" s="7">
        <v>0.5</v>
      </c>
      <c r="L216" s="11">
        <v>0.82</v>
      </c>
      <c r="M216" s="7">
        <v>0.61</v>
      </c>
      <c r="N216" t="s">
        <v>55</v>
      </c>
      <c r="O216" t="s">
        <v>56</v>
      </c>
      <c r="P216" t="s">
        <v>66</v>
      </c>
      <c r="Q216" t="s">
        <v>67</v>
      </c>
      <c r="R216" t="s">
        <v>181</v>
      </c>
      <c r="S216" s="12">
        <v>46220.5833333333</v>
      </c>
      <c r="T216" s="12">
        <v>46220.60875</v>
      </c>
      <c r="U216" s="12">
        <v>46220.6816666667</v>
      </c>
      <c r="V216" t="s">
        <v>6</v>
      </c>
      <c r="W216" s="7">
        <v>0.61</v>
      </c>
      <c r="X216" s="7">
        <v>0</v>
      </c>
      <c r="Y216" s="8">
        <v>15.25</v>
      </c>
      <c r="Z216" s="8">
        <v>11</v>
      </c>
      <c r="AA216" s="8">
        <v>0.5</v>
      </c>
      <c r="AB216" s="8">
        <v>5</v>
      </c>
      <c r="AC216" s="8">
        <v>31.75</v>
      </c>
      <c r="AD216" s="8">
        <v>46.04</v>
      </c>
      <c r="AE216" s="8">
        <v>14.29</v>
      </c>
      <c r="AF216" t="s">
        <v>20</v>
      </c>
    </row>
    <row r="217" spans="1:32">
      <c r="A217" t="s">
        <v>617</v>
      </c>
      <c r="B217" s="10">
        <v>46227</v>
      </c>
      <c r="C217">
        <v>30</v>
      </c>
      <c r="D217" t="s">
        <v>207</v>
      </c>
      <c r="E217" t="s">
        <v>618</v>
      </c>
      <c r="F217" t="s">
        <v>128</v>
      </c>
      <c r="G217" t="s">
        <v>90</v>
      </c>
      <c r="H217" t="s">
        <v>130</v>
      </c>
      <c r="I217">
        <v>70000</v>
      </c>
      <c r="J217" t="s">
        <v>117</v>
      </c>
      <c r="K217" s="7">
        <v>3.09</v>
      </c>
      <c r="L217" s="11">
        <v>0.82</v>
      </c>
      <c r="M217" s="7">
        <v>3.77</v>
      </c>
      <c r="N217" t="s">
        <v>53</v>
      </c>
      <c r="O217" t="s">
        <v>54</v>
      </c>
      <c r="P217" t="s">
        <v>63</v>
      </c>
      <c r="Q217" t="s">
        <v>64</v>
      </c>
      <c r="R217" t="s">
        <v>184</v>
      </c>
      <c r="S217" s="12">
        <v>46227.6458333333</v>
      </c>
      <c r="T217" s="12">
        <v>46227.8029166667</v>
      </c>
      <c r="U217" s="12">
        <v>46227.8758333333</v>
      </c>
      <c r="V217" t="s">
        <v>170</v>
      </c>
      <c r="W217" s="7">
        <v>2</v>
      </c>
      <c r="X217" s="7">
        <v>1.77</v>
      </c>
      <c r="Y217" s="8">
        <v>94.25</v>
      </c>
      <c r="Z217" s="8">
        <v>11</v>
      </c>
      <c r="AA217" s="8">
        <v>0.5</v>
      </c>
      <c r="AB217" s="8">
        <v>5</v>
      </c>
      <c r="AC217" s="8">
        <v>110.75</v>
      </c>
      <c r="AD217" s="8">
        <v>160.59</v>
      </c>
      <c r="AE217" s="8">
        <v>49.84</v>
      </c>
      <c r="AF217" t="s">
        <v>20</v>
      </c>
    </row>
    <row r="218" spans="1:32">
      <c r="A218" t="s">
        <v>619</v>
      </c>
      <c r="B218" s="10">
        <v>46218</v>
      </c>
      <c r="C218">
        <v>29</v>
      </c>
      <c r="D218" t="s">
        <v>191</v>
      </c>
      <c r="E218" t="s">
        <v>620</v>
      </c>
      <c r="F218" t="s">
        <v>128</v>
      </c>
      <c r="G218" t="s">
        <v>101</v>
      </c>
      <c r="H218" t="s">
        <v>131</v>
      </c>
      <c r="I218">
        <v>50000</v>
      </c>
      <c r="J218" t="s">
        <v>113</v>
      </c>
      <c r="K218" s="7">
        <v>3.86</v>
      </c>
      <c r="L218" s="11">
        <v>0.82</v>
      </c>
      <c r="M218" s="7">
        <v>4.71</v>
      </c>
      <c r="N218" t="s">
        <v>53</v>
      </c>
      <c r="O218" t="s">
        <v>54</v>
      </c>
      <c r="P218" t="s">
        <v>66</v>
      </c>
      <c r="Q218" t="s">
        <v>67</v>
      </c>
      <c r="R218" t="s">
        <v>164</v>
      </c>
      <c r="S218" s="12">
        <v>46218.3333333333</v>
      </c>
      <c r="T218" s="12">
        <v>46218.5295833333</v>
      </c>
      <c r="U218" s="12">
        <v>46218.6025</v>
      </c>
      <c r="V218" t="s">
        <v>170</v>
      </c>
      <c r="W218" s="7">
        <v>4.71</v>
      </c>
      <c r="X218" s="7">
        <v>0</v>
      </c>
      <c r="Y218" s="8">
        <v>117.75</v>
      </c>
      <c r="Z218" s="8">
        <v>11</v>
      </c>
      <c r="AA218" s="8">
        <v>0.5</v>
      </c>
      <c r="AB218" s="8">
        <v>5</v>
      </c>
      <c r="AC218" s="8">
        <v>134.25</v>
      </c>
      <c r="AD218" s="8">
        <v>194.66</v>
      </c>
      <c r="AE218" s="8">
        <v>60.41</v>
      </c>
      <c r="AF218" t="s">
        <v>20</v>
      </c>
    </row>
    <row r="219" spans="1:32">
      <c r="A219" t="s">
        <v>621</v>
      </c>
      <c r="B219" s="10">
        <v>46227</v>
      </c>
      <c r="C219">
        <v>30</v>
      </c>
      <c r="D219" t="s">
        <v>199</v>
      </c>
      <c r="E219" t="s">
        <v>622</v>
      </c>
      <c r="F219" t="s">
        <v>128</v>
      </c>
      <c r="G219" t="s">
        <v>101</v>
      </c>
      <c r="H219" t="s">
        <v>131</v>
      </c>
      <c r="I219">
        <v>80000</v>
      </c>
      <c r="J219" t="s">
        <v>119</v>
      </c>
      <c r="K219" s="7">
        <v>6.06</v>
      </c>
      <c r="L219" s="11">
        <v>0.82</v>
      </c>
      <c r="M219" s="7">
        <v>7.39</v>
      </c>
      <c r="N219" t="s">
        <v>61</v>
      </c>
      <c r="O219" t="s">
        <v>62</v>
      </c>
      <c r="P219" t="s">
        <v>66</v>
      </c>
      <c r="Q219" t="s">
        <v>67</v>
      </c>
      <c r="R219" t="s">
        <v>169</v>
      </c>
      <c r="S219" s="12">
        <v>46227.4166666667</v>
      </c>
      <c r="T219" s="12">
        <v>46227.76625</v>
      </c>
      <c r="U219" s="12">
        <v>46227.8391666667</v>
      </c>
      <c r="V219" t="s">
        <v>165</v>
      </c>
      <c r="W219" s="7">
        <v>6.5</v>
      </c>
      <c r="X219" s="7">
        <v>0.89</v>
      </c>
      <c r="Y219" s="8">
        <v>184.75</v>
      </c>
      <c r="Z219" s="8">
        <v>11</v>
      </c>
      <c r="AA219" s="8">
        <v>0.5</v>
      </c>
      <c r="AB219" s="8">
        <v>5</v>
      </c>
      <c r="AC219" s="8">
        <v>201.25</v>
      </c>
      <c r="AD219" s="8">
        <v>291.81</v>
      </c>
      <c r="AE219" s="8">
        <v>90.56</v>
      </c>
      <c r="AF219" t="s">
        <v>20</v>
      </c>
    </row>
    <row r="220" spans="1:32">
      <c r="A220" t="s">
        <v>623</v>
      </c>
      <c r="B220" s="10">
        <v>46218</v>
      </c>
      <c r="C220">
        <v>29</v>
      </c>
      <c r="D220" t="s">
        <v>252</v>
      </c>
      <c r="E220" t="s">
        <v>624</v>
      </c>
      <c r="F220" t="s">
        <v>128</v>
      </c>
      <c r="G220" t="s">
        <v>87</v>
      </c>
      <c r="H220" t="s">
        <v>130</v>
      </c>
      <c r="I220">
        <v>70000</v>
      </c>
      <c r="J220" t="s">
        <v>117</v>
      </c>
      <c r="K220" s="7">
        <v>3.16</v>
      </c>
      <c r="L220" s="11">
        <v>0.82</v>
      </c>
      <c r="M220" s="7">
        <v>3.85</v>
      </c>
      <c r="N220" t="s">
        <v>57</v>
      </c>
      <c r="O220" t="s">
        <v>58</v>
      </c>
      <c r="P220" t="s">
        <v>63</v>
      </c>
      <c r="Q220" t="s">
        <v>64</v>
      </c>
      <c r="R220" t="s">
        <v>174</v>
      </c>
      <c r="S220" s="12">
        <v>46218.5833333333</v>
      </c>
      <c r="T220" s="12">
        <v>46218.74375</v>
      </c>
      <c r="U220" s="12">
        <v>46218.8166666667</v>
      </c>
      <c r="V220" t="s">
        <v>165</v>
      </c>
      <c r="W220" s="7">
        <v>3.5</v>
      </c>
      <c r="X220" s="7">
        <v>0.35</v>
      </c>
      <c r="Y220" s="8">
        <v>96.25</v>
      </c>
      <c r="Z220" s="8">
        <v>11</v>
      </c>
      <c r="AA220" s="8">
        <v>0.5</v>
      </c>
      <c r="AB220" s="8">
        <v>5</v>
      </c>
      <c r="AC220" s="8">
        <v>112.75</v>
      </c>
      <c r="AD220" s="8">
        <v>163.49</v>
      </c>
      <c r="AE220" s="8">
        <v>50.74</v>
      </c>
      <c r="AF220" t="s">
        <v>20</v>
      </c>
    </row>
    <row r="221" spans="1:32">
      <c r="A221" t="s">
        <v>625</v>
      </c>
      <c r="B221" s="10">
        <v>46225</v>
      </c>
      <c r="C221">
        <v>30</v>
      </c>
      <c r="D221" t="s">
        <v>227</v>
      </c>
      <c r="E221" t="s">
        <v>626</v>
      </c>
      <c r="F221" t="s">
        <v>128</v>
      </c>
      <c r="G221" t="s">
        <v>94</v>
      </c>
      <c r="H221" t="s">
        <v>130</v>
      </c>
      <c r="I221">
        <v>35000</v>
      </c>
      <c r="J221" t="s">
        <v>110</v>
      </c>
      <c r="K221" s="7">
        <v>0.5</v>
      </c>
      <c r="L221" s="11">
        <v>0.82</v>
      </c>
      <c r="M221" s="7">
        <v>0.61</v>
      </c>
      <c r="N221" t="s">
        <v>59</v>
      </c>
      <c r="O221" t="s">
        <v>60</v>
      </c>
      <c r="P221" t="s">
        <v>66</v>
      </c>
      <c r="Q221" t="s">
        <v>67</v>
      </c>
      <c r="R221" t="s">
        <v>178</v>
      </c>
      <c r="S221" s="12">
        <v>46225.6458333333</v>
      </c>
      <c r="T221" s="12">
        <v>46225.67125</v>
      </c>
      <c r="U221" s="12">
        <v>46225.7441666667</v>
      </c>
      <c r="V221" t="s">
        <v>165</v>
      </c>
      <c r="W221" s="7">
        <v>0.61</v>
      </c>
      <c r="X221" s="7">
        <v>0</v>
      </c>
      <c r="Y221" s="8">
        <v>15.25</v>
      </c>
      <c r="Z221" s="8">
        <v>11</v>
      </c>
      <c r="AA221" s="8">
        <v>0.5</v>
      </c>
      <c r="AB221" s="8">
        <v>5</v>
      </c>
      <c r="AC221" s="8">
        <v>31.75</v>
      </c>
      <c r="AD221" s="8">
        <v>46.04</v>
      </c>
      <c r="AE221" s="8">
        <v>14.29</v>
      </c>
      <c r="AF221" t="s">
        <v>20</v>
      </c>
    </row>
    <row r="222" spans="1:32">
      <c r="A222" t="s">
        <v>627</v>
      </c>
      <c r="B222" s="10">
        <v>46223</v>
      </c>
      <c r="C222">
        <v>30</v>
      </c>
      <c r="D222" t="s">
        <v>227</v>
      </c>
      <c r="E222" t="s">
        <v>628</v>
      </c>
      <c r="F222" t="s">
        <v>128</v>
      </c>
      <c r="G222" t="s">
        <v>81</v>
      </c>
      <c r="H222" t="s">
        <v>129</v>
      </c>
      <c r="I222">
        <v>90000</v>
      </c>
      <c r="J222" t="s">
        <v>121</v>
      </c>
      <c r="K222" s="7">
        <v>5.33</v>
      </c>
      <c r="L222" s="11">
        <v>0.82</v>
      </c>
      <c r="M222" s="7">
        <v>6.5</v>
      </c>
      <c r="N222" t="s">
        <v>53</v>
      </c>
      <c r="O222" t="s">
        <v>54</v>
      </c>
      <c r="P222" t="s">
        <v>66</v>
      </c>
      <c r="Q222" t="s">
        <v>67</v>
      </c>
      <c r="R222" t="s">
        <v>181</v>
      </c>
      <c r="S222" s="12">
        <v>46223.3333333333</v>
      </c>
      <c r="T222" s="12">
        <v>46223.6458333333</v>
      </c>
      <c r="U222" s="12">
        <v>46223.71875</v>
      </c>
      <c r="V222" t="s">
        <v>165</v>
      </c>
      <c r="W222" s="7">
        <v>6.5</v>
      </c>
      <c r="X222" s="7">
        <v>0</v>
      </c>
      <c r="Y222" s="8">
        <v>162.5</v>
      </c>
      <c r="Z222" s="8">
        <v>11</v>
      </c>
      <c r="AA222" s="8">
        <v>0.5</v>
      </c>
      <c r="AB222" s="8">
        <v>5</v>
      </c>
      <c r="AC222" s="8">
        <v>179</v>
      </c>
      <c r="AD222" s="8">
        <v>259.55</v>
      </c>
      <c r="AE222" s="8">
        <v>80.55</v>
      </c>
      <c r="AF222" t="s">
        <v>20</v>
      </c>
    </row>
    <row r="223" spans="1:32">
      <c r="A223" t="s">
        <v>629</v>
      </c>
      <c r="B223" s="10">
        <v>46216</v>
      </c>
      <c r="C223">
        <v>29</v>
      </c>
      <c r="D223" t="s">
        <v>176</v>
      </c>
      <c r="E223" t="s">
        <v>630</v>
      </c>
      <c r="F223" t="s">
        <v>128</v>
      </c>
      <c r="G223" t="s">
        <v>92</v>
      </c>
      <c r="H223" t="s">
        <v>130</v>
      </c>
      <c r="I223">
        <v>40000</v>
      </c>
      <c r="J223" t="s">
        <v>111</v>
      </c>
      <c r="K223" s="7">
        <v>4.76</v>
      </c>
      <c r="L223" s="11">
        <v>0.82</v>
      </c>
      <c r="M223" s="7">
        <v>5.8</v>
      </c>
      <c r="N223" t="s">
        <v>53</v>
      </c>
      <c r="O223" t="s">
        <v>54</v>
      </c>
      <c r="P223" t="s">
        <v>63</v>
      </c>
      <c r="Q223" t="s">
        <v>64</v>
      </c>
      <c r="R223" t="s">
        <v>184</v>
      </c>
      <c r="S223" s="12">
        <v>46216.4166666667</v>
      </c>
      <c r="T223" s="12">
        <v>46216.7</v>
      </c>
      <c r="U223" s="12">
        <v>46216.7729166667</v>
      </c>
      <c r="V223" t="s">
        <v>201</v>
      </c>
      <c r="W223" s="7">
        <v>5.8</v>
      </c>
      <c r="X223" s="7">
        <v>0</v>
      </c>
      <c r="Y223" s="8">
        <v>145</v>
      </c>
      <c r="Z223" s="8">
        <v>11</v>
      </c>
      <c r="AA223" s="8">
        <v>0.5</v>
      </c>
      <c r="AB223" s="8">
        <v>5</v>
      </c>
      <c r="AC223" s="8">
        <v>161.5</v>
      </c>
      <c r="AD223" s="8">
        <v>234.17</v>
      </c>
      <c r="AE223" s="8">
        <v>72.67</v>
      </c>
      <c r="AF223" t="s">
        <v>20</v>
      </c>
    </row>
    <row r="224" spans="1:32">
      <c r="A224" t="s">
        <v>631</v>
      </c>
      <c r="B224" s="10">
        <v>46218</v>
      </c>
      <c r="C224">
        <v>29</v>
      </c>
      <c r="D224" t="s">
        <v>176</v>
      </c>
      <c r="E224" t="s">
        <v>632</v>
      </c>
      <c r="F224" t="s">
        <v>128</v>
      </c>
      <c r="G224" t="s">
        <v>86</v>
      </c>
      <c r="H224" t="s">
        <v>130</v>
      </c>
      <c r="I224">
        <v>35000</v>
      </c>
      <c r="J224" t="s">
        <v>110</v>
      </c>
      <c r="K224" s="7">
        <v>0.6</v>
      </c>
      <c r="L224" s="11">
        <v>0.82</v>
      </c>
      <c r="M224" s="7">
        <v>0.73</v>
      </c>
      <c r="N224" t="s">
        <v>59</v>
      </c>
      <c r="O224" t="s">
        <v>60</v>
      </c>
      <c r="P224" t="s">
        <v>66</v>
      </c>
      <c r="Q224" t="s">
        <v>67</v>
      </c>
      <c r="R224" t="s">
        <v>164</v>
      </c>
      <c r="S224" s="12">
        <v>46218.5833333333</v>
      </c>
      <c r="T224" s="12">
        <v>46218.61375</v>
      </c>
      <c r="U224" s="12">
        <v>46218.6866666667</v>
      </c>
      <c r="V224" t="s">
        <v>170</v>
      </c>
      <c r="W224" s="7">
        <v>0.73</v>
      </c>
      <c r="X224" s="7">
        <v>0</v>
      </c>
      <c r="Y224" s="8">
        <v>18.25</v>
      </c>
      <c r="Z224" s="8">
        <v>11</v>
      </c>
      <c r="AA224" s="8">
        <v>0.5</v>
      </c>
      <c r="AB224" s="8">
        <v>5</v>
      </c>
      <c r="AC224" s="8">
        <v>34.75</v>
      </c>
      <c r="AD224" s="8">
        <v>50.39</v>
      </c>
      <c r="AE224" s="8">
        <v>15.64</v>
      </c>
      <c r="AF224" t="s">
        <v>20</v>
      </c>
    </row>
    <row r="225" spans="1:32">
      <c r="A225" t="s">
        <v>633</v>
      </c>
      <c r="B225" s="10">
        <v>46226</v>
      </c>
      <c r="C225">
        <v>30</v>
      </c>
      <c r="D225" t="s">
        <v>207</v>
      </c>
      <c r="E225" t="s">
        <v>634</v>
      </c>
      <c r="F225" t="s">
        <v>128</v>
      </c>
      <c r="G225" t="s">
        <v>84</v>
      </c>
      <c r="H225" t="s">
        <v>130</v>
      </c>
      <c r="I225">
        <v>1000000</v>
      </c>
      <c r="J225" t="s">
        <v>123</v>
      </c>
      <c r="K225" s="7">
        <v>5.66</v>
      </c>
      <c r="L225" s="11">
        <v>0.82</v>
      </c>
      <c r="M225" s="7">
        <v>6.9</v>
      </c>
      <c r="N225" t="s">
        <v>50</v>
      </c>
      <c r="O225" t="s">
        <v>51</v>
      </c>
      <c r="P225" t="s">
        <v>63</v>
      </c>
      <c r="Q225" t="s">
        <v>64</v>
      </c>
      <c r="R225" t="s">
        <v>169</v>
      </c>
      <c r="S225" s="12">
        <v>46226.6458333333</v>
      </c>
      <c r="T225" s="12">
        <v>46226.9333333333</v>
      </c>
      <c r="U225" s="12">
        <v>46227.00625</v>
      </c>
      <c r="V225" t="s">
        <v>170</v>
      </c>
      <c r="W225" s="7">
        <v>3.9</v>
      </c>
      <c r="X225" s="7">
        <v>3</v>
      </c>
      <c r="Y225" s="8">
        <v>172.5</v>
      </c>
      <c r="Z225" s="8">
        <v>11</v>
      </c>
      <c r="AA225" s="8">
        <v>0.5</v>
      </c>
      <c r="AB225" s="8">
        <v>5</v>
      </c>
      <c r="AC225" s="8">
        <v>189</v>
      </c>
      <c r="AD225" s="8">
        <v>274.05</v>
      </c>
      <c r="AE225" s="8">
        <v>85.05</v>
      </c>
      <c r="AF225" t="s">
        <v>20</v>
      </c>
    </row>
    <row r="226" spans="1:32">
      <c r="A226" t="s">
        <v>635</v>
      </c>
      <c r="B226" s="10">
        <v>46224</v>
      </c>
      <c r="C226">
        <v>30</v>
      </c>
      <c r="D226" t="s">
        <v>221</v>
      </c>
      <c r="E226" t="s">
        <v>636</v>
      </c>
      <c r="F226" t="s">
        <v>128</v>
      </c>
      <c r="G226" t="s">
        <v>94</v>
      </c>
      <c r="H226" t="s">
        <v>130</v>
      </c>
      <c r="I226">
        <v>75000</v>
      </c>
      <c r="J226" t="s">
        <v>118</v>
      </c>
      <c r="K226" s="7">
        <v>1.4</v>
      </c>
      <c r="L226" s="11">
        <v>0.82</v>
      </c>
      <c r="M226" s="7">
        <v>1.71</v>
      </c>
      <c r="N226" t="s">
        <v>53</v>
      </c>
      <c r="O226" t="s">
        <v>54</v>
      </c>
      <c r="P226" t="s">
        <v>63</v>
      </c>
      <c r="Q226" t="s">
        <v>64</v>
      </c>
      <c r="R226" t="s">
        <v>174</v>
      </c>
      <c r="S226" s="12">
        <v>46224.3333333333</v>
      </c>
      <c r="T226" s="12">
        <v>46224.4045833333</v>
      </c>
      <c r="U226" s="12">
        <v>46224.4775</v>
      </c>
      <c r="V226" t="s">
        <v>165</v>
      </c>
      <c r="W226" s="7">
        <v>1.71</v>
      </c>
      <c r="X226" s="7">
        <v>0</v>
      </c>
      <c r="Y226" s="8">
        <v>42.75</v>
      </c>
      <c r="Z226" s="8">
        <v>11</v>
      </c>
      <c r="AA226" s="8">
        <v>0.5</v>
      </c>
      <c r="AB226" s="8">
        <v>5</v>
      </c>
      <c r="AC226" s="8">
        <v>59.25</v>
      </c>
      <c r="AD226" s="8">
        <v>85.91</v>
      </c>
      <c r="AE226" s="8">
        <v>26.66</v>
      </c>
      <c r="AF226" t="s">
        <v>20</v>
      </c>
    </row>
    <row r="227" spans="1:32">
      <c r="A227" t="s">
        <v>637</v>
      </c>
      <c r="B227" s="10">
        <v>46218</v>
      </c>
      <c r="C227">
        <v>29</v>
      </c>
      <c r="D227" t="s">
        <v>194</v>
      </c>
      <c r="E227" t="s">
        <v>638</v>
      </c>
      <c r="F227" t="s">
        <v>128</v>
      </c>
      <c r="G227" t="s">
        <v>87</v>
      </c>
      <c r="H227" t="s">
        <v>130</v>
      </c>
      <c r="I227">
        <v>90000</v>
      </c>
      <c r="J227" t="s">
        <v>121</v>
      </c>
      <c r="K227" s="7">
        <v>5.36</v>
      </c>
      <c r="L227" s="11">
        <v>0.82</v>
      </c>
      <c r="M227" s="7">
        <v>6.54</v>
      </c>
      <c r="N227" t="s">
        <v>59</v>
      </c>
      <c r="O227" t="s">
        <v>60</v>
      </c>
      <c r="P227" t="s">
        <v>63</v>
      </c>
      <c r="Q227" t="s">
        <v>64</v>
      </c>
      <c r="R227" t="s">
        <v>178</v>
      </c>
      <c r="S227" s="12">
        <v>46218.4166666667</v>
      </c>
      <c r="T227" s="12">
        <v>46218.7308333333</v>
      </c>
      <c r="U227" s="12">
        <v>46218.80375</v>
      </c>
      <c r="V227" t="s">
        <v>170</v>
      </c>
      <c r="W227" s="7">
        <v>6.5</v>
      </c>
      <c r="X227" s="7">
        <v>0.04</v>
      </c>
      <c r="Y227" s="8">
        <v>163.5</v>
      </c>
      <c r="Z227" s="8">
        <v>11</v>
      </c>
      <c r="AA227" s="8">
        <v>0.5</v>
      </c>
      <c r="AB227" s="8">
        <v>5</v>
      </c>
      <c r="AC227" s="8">
        <v>180</v>
      </c>
      <c r="AD227" s="8">
        <v>261</v>
      </c>
      <c r="AE227" s="8">
        <v>81</v>
      </c>
      <c r="AF227" t="s">
        <v>20</v>
      </c>
    </row>
    <row r="228" spans="1:32">
      <c r="A228" t="s">
        <v>639</v>
      </c>
      <c r="B228" s="10">
        <v>46219</v>
      </c>
      <c r="C228">
        <v>29</v>
      </c>
      <c r="D228" t="s">
        <v>194</v>
      </c>
      <c r="E228" t="s">
        <v>640</v>
      </c>
      <c r="F228" t="s">
        <v>128</v>
      </c>
      <c r="G228" t="s">
        <v>97</v>
      </c>
      <c r="H228" t="s">
        <v>130</v>
      </c>
      <c r="I228">
        <v>85000</v>
      </c>
      <c r="J228" t="s">
        <v>120</v>
      </c>
      <c r="K228" s="7">
        <v>0.65</v>
      </c>
      <c r="L228" s="11">
        <v>0.82</v>
      </c>
      <c r="M228" s="7">
        <v>0.79</v>
      </c>
      <c r="N228" t="s">
        <v>50</v>
      </c>
      <c r="O228" t="s">
        <v>51</v>
      </c>
      <c r="P228" t="s">
        <v>66</v>
      </c>
      <c r="Q228" t="s">
        <v>67</v>
      </c>
      <c r="R228" t="s">
        <v>181</v>
      </c>
      <c r="S228" s="12">
        <v>46219.5833333333</v>
      </c>
      <c r="T228" s="12">
        <v>46219.61625</v>
      </c>
      <c r="U228" s="12">
        <v>46219.6891666667</v>
      </c>
      <c r="V228" t="s">
        <v>170</v>
      </c>
      <c r="W228" s="7">
        <v>0.79</v>
      </c>
      <c r="X228" s="7">
        <v>0</v>
      </c>
      <c r="Y228" s="8">
        <v>19.75</v>
      </c>
      <c r="Z228" s="8">
        <v>11</v>
      </c>
      <c r="AA228" s="8">
        <v>0.5</v>
      </c>
      <c r="AB228" s="8">
        <v>5</v>
      </c>
      <c r="AC228" s="8">
        <v>36.25</v>
      </c>
      <c r="AD228" s="8">
        <v>52.56</v>
      </c>
      <c r="AE228" s="8">
        <v>16.31</v>
      </c>
      <c r="AF228" t="s">
        <v>20</v>
      </c>
    </row>
    <row r="229" spans="1:32">
      <c r="A229" t="s">
        <v>641</v>
      </c>
      <c r="B229" s="10">
        <v>46225</v>
      </c>
      <c r="C229">
        <v>30</v>
      </c>
      <c r="D229" t="s">
        <v>194</v>
      </c>
      <c r="E229" t="s">
        <v>642</v>
      </c>
      <c r="F229" t="s">
        <v>128</v>
      </c>
      <c r="G229" t="s">
        <v>78</v>
      </c>
      <c r="H229" t="s">
        <v>127</v>
      </c>
      <c r="I229">
        <v>40000</v>
      </c>
      <c r="J229" t="s">
        <v>111</v>
      </c>
      <c r="K229" s="7">
        <v>3.53</v>
      </c>
      <c r="L229" s="11">
        <v>0.82</v>
      </c>
      <c r="M229" s="7">
        <v>4.3</v>
      </c>
      <c r="N229" t="s">
        <v>53</v>
      </c>
      <c r="O229" t="s">
        <v>54</v>
      </c>
      <c r="P229" t="s">
        <v>63</v>
      </c>
      <c r="Q229" t="s">
        <v>64</v>
      </c>
      <c r="R229" t="s">
        <v>184</v>
      </c>
      <c r="S229" s="12">
        <v>46225.6458333333</v>
      </c>
      <c r="T229" s="12">
        <v>46225.825</v>
      </c>
      <c r="U229" s="12">
        <v>46225.8979166667</v>
      </c>
      <c r="V229" t="s">
        <v>165</v>
      </c>
      <c r="W229" s="7">
        <v>2</v>
      </c>
      <c r="X229" s="7">
        <v>2.3</v>
      </c>
      <c r="Y229" s="8">
        <v>107.5</v>
      </c>
      <c r="Z229" s="8">
        <v>11</v>
      </c>
      <c r="AA229" s="8">
        <v>0.5</v>
      </c>
      <c r="AB229" s="8">
        <v>5</v>
      </c>
      <c r="AC229" s="8">
        <v>124</v>
      </c>
      <c r="AD229" s="8">
        <v>179.8</v>
      </c>
      <c r="AE229" s="8">
        <v>55.8</v>
      </c>
      <c r="AF229" t="s">
        <v>20</v>
      </c>
    </row>
    <row r="230" spans="1:32">
      <c r="A230" t="s">
        <v>643</v>
      </c>
      <c r="B230" s="10">
        <v>46230</v>
      </c>
      <c r="C230">
        <v>31</v>
      </c>
      <c r="D230" t="s">
        <v>207</v>
      </c>
      <c r="E230" t="s">
        <v>644</v>
      </c>
      <c r="F230" t="s">
        <v>128</v>
      </c>
      <c r="G230" t="s">
        <v>82</v>
      </c>
      <c r="H230" t="s">
        <v>130</v>
      </c>
      <c r="I230">
        <v>75000</v>
      </c>
      <c r="J230" t="s">
        <v>118</v>
      </c>
      <c r="K230" s="7">
        <v>1.4</v>
      </c>
      <c r="L230" s="11">
        <v>0.82</v>
      </c>
      <c r="M230" s="7">
        <v>1.71</v>
      </c>
      <c r="N230" t="s">
        <v>59</v>
      </c>
      <c r="O230" t="s">
        <v>60</v>
      </c>
      <c r="P230" t="s">
        <v>63</v>
      </c>
      <c r="Q230" t="s">
        <v>64</v>
      </c>
      <c r="R230" t="s">
        <v>164</v>
      </c>
      <c r="S230" s="12">
        <v>46230.3333333333</v>
      </c>
      <c r="T230" s="12">
        <v>46230.4045833333</v>
      </c>
      <c r="U230" s="12">
        <v>46230.4775</v>
      </c>
      <c r="V230" t="s">
        <v>165</v>
      </c>
      <c r="W230" s="7">
        <v>1.71</v>
      </c>
      <c r="X230" s="7">
        <v>0</v>
      </c>
      <c r="Y230" s="8">
        <v>42.75</v>
      </c>
      <c r="Z230" s="8">
        <v>11</v>
      </c>
      <c r="AA230" s="8">
        <v>0.5</v>
      </c>
      <c r="AB230" s="8">
        <v>5</v>
      </c>
      <c r="AC230" s="8">
        <v>59.25</v>
      </c>
      <c r="AD230" s="8">
        <v>85.91</v>
      </c>
      <c r="AE230" s="8">
        <v>26.66</v>
      </c>
      <c r="AF230" t="s">
        <v>20</v>
      </c>
    </row>
    <row r="231" spans="1:32">
      <c r="A231" t="s">
        <v>645</v>
      </c>
      <c r="B231" s="10">
        <v>46225</v>
      </c>
      <c r="C231">
        <v>30</v>
      </c>
      <c r="D231" t="s">
        <v>194</v>
      </c>
      <c r="E231" t="s">
        <v>646</v>
      </c>
      <c r="F231" t="s">
        <v>128</v>
      </c>
      <c r="G231" t="s">
        <v>98</v>
      </c>
      <c r="H231" t="s">
        <v>130</v>
      </c>
      <c r="I231">
        <v>50000</v>
      </c>
      <c r="J231" t="s">
        <v>113</v>
      </c>
      <c r="K231" s="7">
        <v>5.36</v>
      </c>
      <c r="L231" s="11">
        <v>0.82</v>
      </c>
      <c r="M231" s="7">
        <v>6.54</v>
      </c>
      <c r="N231" t="s">
        <v>59</v>
      </c>
      <c r="O231" t="s">
        <v>60</v>
      </c>
      <c r="P231" t="s">
        <v>66</v>
      </c>
      <c r="Q231" t="s">
        <v>67</v>
      </c>
      <c r="R231" t="s">
        <v>169</v>
      </c>
      <c r="S231" s="12">
        <v>46225.4166666667</v>
      </c>
      <c r="T231" s="12">
        <v>46225.7308333333</v>
      </c>
      <c r="U231" s="12">
        <v>46225.80375</v>
      </c>
      <c r="V231" t="s">
        <v>165</v>
      </c>
      <c r="W231" s="7">
        <v>6.5</v>
      </c>
      <c r="X231" s="7">
        <v>0.04</v>
      </c>
      <c r="Y231" s="8">
        <v>163.5</v>
      </c>
      <c r="Z231" s="8">
        <v>11</v>
      </c>
      <c r="AA231" s="8">
        <v>0.5</v>
      </c>
      <c r="AB231" s="8">
        <v>5</v>
      </c>
      <c r="AC231" s="8">
        <v>180</v>
      </c>
      <c r="AD231" s="8">
        <v>261</v>
      </c>
      <c r="AE231" s="8">
        <v>81</v>
      </c>
      <c r="AF231" t="s">
        <v>20</v>
      </c>
    </row>
  </sheetData>
  <conditionalFormatting sqref="V2:V231">
    <cfRule type="expression" dxfId="0" priority="1">
      <formula>V2="En desarrollo"</formula>
    </cfRule>
    <cfRule type="expression" dxfId="1" priority="2">
      <formula>V2="Planificada"</formula>
    </cfRule>
    <cfRule type="expression" dxfId="2" priority="3">
      <formula>V2="Proyectada"</formula>
    </cfRule>
    <cfRule type="expression" dxfId="3" priority="4">
      <formula>V2="Prevista"</formula>
    </cfRule>
    <cfRule type="expression" dxfId="4" priority="5">
      <formula>V2="Parada"</formula>
    </cfRule>
  </conditionalFormatting>
  <dataValidations count="2">
    <dataValidation type="list" sqref="R2:R500">
      <formula1>"B1,B2,B3,B4,B5,B6"</formula1>
    </dataValidation>
    <dataValidation type="list" sqref="V2:V500">
      <formula1>"En desarrollo,Planificada,Proyectada,Prevista,Parada"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C18" sqref="C18"/>
    </sheetView>
  </sheetViews>
  <sheetFormatPr defaultColWidth="9" defaultRowHeight="13.8" outlineLevelCol="5"/>
  <cols>
    <col min="1" max="11" width="16" customWidth="1"/>
  </cols>
  <sheetData>
    <row r="1" ht="21" spans="1:6">
      <c r="A1" s="3" t="s">
        <v>647</v>
      </c>
      <c r="B1" s="3"/>
      <c r="C1" s="3"/>
      <c r="D1" s="3"/>
      <c r="E1" s="3"/>
      <c r="F1" s="3"/>
    </row>
    <row r="3" spans="1:6">
      <c r="A3" s="4" t="s">
        <v>648</v>
      </c>
      <c r="B3" s="4" t="s">
        <v>649</v>
      </c>
      <c r="D3" s="4" t="s">
        <v>150</v>
      </c>
      <c r="E3" s="4" t="s">
        <v>650</v>
      </c>
    </row>
    <row r="4" spans="1:6">
      <c r="A4" s="5" t="s">
        <v>651</v>
      </c>
      <c r="B4" s="6">
        <f>COUNTA(Ordenes_Trabajo!A2:A231)</f>
        <v>230</v>
      </c>
      <c r="D4" t="s">
        <v>6</v>
      </c>
      <c r="E4">
        <v>42</v>
      </c>
    </row>
    <row r="5" spans="1:6">
      <c r="A5" s="5" t="s">
        <v>6</v>
      </c>
      <c r="B5" s="6">
        <f>COUNTIF(Ordenes_Trabajo!V2:V231,"En desarrollo")</f>
        <v>42</v>
      </c>
      <c r="D5" t="s">
        <v>165</v>
      </c>
      <c r="E5">
        <v>73</v>
      </c>
    </row>
    <row r="6" spans="1:6">
      <c r="A6" s="5" t="s">
        <v>165</v>
      </c>
      <c r="B6" s="6">
        <f>COUNTIF(Ordenes_Trabajo!V2:V231,"Planificada")</f>
        <v>73</v>
      </c>
      <c r="D6" t="s">
        <v>170</v>
      </c>
      <c r="E6">
        <v>80</v>
      </c>
    </row>
    <row r="7" spans="1:6">
      <c r="A7" s="5" t="s">
        <v>170</v>
      </c>
      <c r="B7" s="6">
        <f>COUNTIF(Ordenes_Trabajo!V2:V231,"Proyectada")</f>
        <v>80</v>
      </c>
      <c r="D7" t="s">
        <v>201</v>
      </c>
      <c r="E7">
        <v>31</v>
      </c>
    </row>
    <row r="8" spans="1:6">
      <c r="A8" s="5" t="s">
        <v>201</v>
      </c>
      <c r="B8" s="6">
        <f>COUNTIF(Ordenes_Trabajo!V2:V231,"Prevista")</f>
        <v>31</v>
      </c>
      <c r="D8" t="s">
        <v>319</v>
      </c>
      <c r="E8">
        <v>4</v>
      </c>
    </row>
    <row r="9" spans="1:6">
      <c r="A9" s="5" t="s">
        <v>319</v>
      </c>
      <c r="B9" s="6">
        <f>COUNTIF(Ordenes_Trabajo!V2:V231,"Parada")</f>
        <v>4</v>
      </c>
    </row>
    <row r="10" spans="1:6">
      <c r="A10" s="5" t="s">
        <v>141</v>
      </c>
      <c r="B10" s="7">
        <f>SUM(Ordenes_Trabajo!M2:M231)</f>
        <v>727.840000000001</v>
      </c>
    </row>
    <row r="11" spans="1:6">
      <c r="A11" s="5" t="s">
        <v>652</v>
      </c>
      <c r="B11" s="7">
        <f>SUM(Ordenes_Trabajo!X2:X231)</f>
        <v>127.69</v>
      </c>
    </row>
    <row r="12" spans="1:6">
      <c r="A12" s="5" t="s">
        <v>157</v>
      </c>
      <c r="B12" s="8">
        <f>SUM(Ordenes_Trabajo!AC2:AC231)</f>
        <v>21991</v>
      </c>
    </row>
    <row r="13" spans="1:6">
      <c r="A13" s="5" t="s">
        <v>158</v>
      </c>
      <c r="B13" s="8">
        <f>SUM(Ordenes_Trabajo!AD2:AD231)</f>
        <v>31887</v>
      </c>
    </row>
    <row r="14" spans="1:6">
      <c r="A14" s="5" t="s">
        <v>159</v>
      </c>
      <c r="B14" s="8">
        <f>SUM(Ordenes_Trabajo!AE2:AE231)</f>
        <v>9896</v>
      </c>
    </row>
  </sheetData>
  <mergeCells count="1">
    <mergeCell ref="A1:F1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C1" sqref="C1"/>
    </sheetView>
  </sheetViews>
  <sheetFormatPr defaultColWidth="9" defaultRowHeight="13.8" outlineLevelCol="1"/>
  <cols>
    <col min="1" max="1" width="19.3" customWidth="1"/>
    <col min="2" max="2" width="55" customWidth="1"/>
  </cols>
  <sheetData>
    <row r="1" ht="32" customHeight="1" spans="1:2">
      <c r="A1" s="1" t="s">
        <v>653</v>
      </c>
      <c r="B1" s="2" t="s">
        <v>654</v>
      </c>
    </row>
    <row r="2" spans="1:2">
      <c r="A2" t="s">
        <v>132</v>
      </c>
      <c r="B2" t="s">
        <v>655</v>
      </c>
    </row>
    <row r="3" spans="1:2">
      <c r="A3" t="s">
        <v>133</v>
      </c>
      <c r="B3" t="s">
        <v>656</v>
      </c>
    </row>
    <row r="4" spans="1:2">
      <c r="A4" t="s">
        <v>139</v>
      </c>
      <c r="B4" t="s">
        <v>657</v>
      </c>
    </row>
    <row r="5" spans="1:2">
      <c r="A5" t="s">
        <v>141</v>
      </c>
      <c r="B5" t="s">
        <v>658</v>
      </c>
    </row>
    <row r="6" spans="1:2">
      <c r="A6" t="s">
        <v>151</v>
      </c>
      <c r="B6" t="s">
        <v>659</v>
      </c>
    </row>
    <row r="7" spans="1:2">
      <c r="A7" t="s">
        <v>152</v>
      </c>
      <c r="B7" t="s">
        <v>660</v>
      </c>
    </row>
    <row r="8" spans="1:2">
      <c r="A8" t="s">
        <v>153</v>
      </c>
      <c r="B8" t="s">
        <v>661</v>
      </c>
    </row>
    <row r="9" spans="1:2">
      <c r="A9" t="s">
        <v>154</v>
      </c>
      <c r="B9" t="s">
        <v>662</v>
      </c>
    </row>
    <row r="10" spans="1:2">
      <c r="A10" t="s">
        <v>155</v>
      </c>
      <c r="B10" t="s">
        <v>663</v>
      </c>
    </row>
    <row r="11" spans="1:2">
      <c r="A11" t="s">
        <v>156</v>
      </c>
      <c r="B11" t="s">
        <v>664</v>
      </c>
    </row>
    <row r="12" spans="1:2">
      <c r="A12" t="s">
        <v>158</v>
      </c>
      <c r="B12" t="s">
        <v>665</v>
      </c>
    </row>
    <row r="13" spans="1:2">
      <c r="A13" t="s">
        <v>159</v>
      </c>
      <c r="B13" t="s">
        <v>666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Portada</vt:lpstr>
      <vt:lpstr>Parametros</vt:lpstr>
      <vt:lpstr>Personal</vt:lpstr>
      <vt:lpstr>Temparios</vt:lpstr>
      <vt:lpstr>Vehiculos</vt:lpstr>
      <vt:lpstr>Ordenes_Trabajo</vt:lpstr>
      <vt:lpstr>Resumen_Base</vt:lpstr>
      <vt:lpstr>Diccionario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sif</cp:lastModifiedBy>
  <dcterms:created xsi:type="dcterms:W3CDTF">2026-07-20T10:11:20Z</dcterms:created>
  <dcterms:modified xsi:type="dcterms:W3CDTF">2026-07-20T10:21:32Z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DA035FE2B51748EC9F54D618CAE1D10A_12</vt:lpwstr>
  </property>
  <property fmtid="{D5CDD505-2E9C-101B-9397-08002B2CF9AE}" pid="3" name="KSOProductBuildVer">
    <vt:lpwstr>3082-12.1.0.26369</vt:lpwstr>
  </property>
  <property fmtid="{D5CDD505-2E9C-101B-9397-08002B2CF9AE}" pid="4" name="CalculationRule">
    <vt:i4>0</vt:i4>
  </property>
</Properties>
</file>