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60" activeTab="4"/>
  </bookViews>
  <sheets>
    <sheet name="Portada" sheetId="1" r:id="rId1"/>
    <sheet name="Planning_Diario" sheetId="2" r:id="rId2"/>
    <sheet name="Planning_Semanal" sheetId="3" r:id="rId3"/>
    <sheet name="Capacidad_Taller" sheetId="4" r:id="rId4"/>
    <sheet name="Conflict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<sst xmlns="http://schemas.openxmlformats.org/spreadsheetml/2006/main" count="3318" uniqueCount="830">
  <si>
    <t>ENTREGABLE 2 – PLANNING DE CARGA DE TRABAJO</t>
  </si>
  <si>
    <t>Taller</t>
  </si>
  <si>
    <t>Doctor Fierros</t>
  </si>
  <si>
    <t>Período</t>
  </si>
  <si>
    <t>13 al 27 de julio de 2026</t>
  </si>
  <si>
    <t>Órdenes programadas</t>
  </si>
  <si>
    <t>Técnicos</t>
  </si>
  <si>
    <t>Asesores</t>
  </si>
  <si>
    <t>Bahías</t>
  </si>
  <si>
    <t>Capacidad diaria normal</t>
  </si>
  <si>
    <t>48 h</t>
  </si>
  <si>
    <t>Reserva operativa</t>
  </si>
  <si>
    <t>15 %</t>
  </si>
  <si>
    <t>PLANNING DIARIO DE CARGA DE TRABAJO</t>
  </si>
  <si>
    <t>OT</t>
  </si>
  <si>
    <t>Fecha</t>
  </si>
  <si>
    <t>Día</t>
  </si>
  <si>
    <t>Semana</t>
  </si>
  <si>
    <t>Cliente</t>
  </si>
  <si>
    <t>Placa</t>
  </si>
  <si>
    <t>Marca</t>
  </si>
  <si>
    <t>Modelo</t>
  </si>
  <si>
    <t>Tipo mantenimiento</t>
  </si>
  <si>
    <t>Estado</t>
  </si>
  <si>
    <t>Técnico</t>
  </si>
  <si>
    <t>Asesor</t>
  </si>
  <si>
    <t>Bahía</t>
  </si>
  <si>
    <t>Recepción</t>
  </si>
  <si>
    <t>Inicio técnico</t>
  </si>
  <si>
    <t>Fin técnico</t>
  </si>
  <si>
    <t>Control calidad</t>
  </si>
  <si>
    <t>Lavado</t>
  </si>
  <si>
    <t>Prueba ruta</t>
  </si>
  <si>
    <t>Entrega</t>
  </si>
  <si>
    <t>Tempario (h)</t>
  </si>
  <si>
    <t>Horas requeridas</t>
  </si>
  <si>
    <t>Horas normales</t>
  </si>
  <si>
    <t>Horas extra</t>
  </si>
  <si>
    <t>Capacidad técnico</t>
  </si>
  <si>
    <t>Utilización</t>
  </si>
  <si>
    <t>Carga</t>
  </si>
  <si>
    <t>Cumple entrega</t>
  </si>
  <si>
    <t>Observación</t>
  </si>
  <si>
    <t>Conflicto</t>
  </si>
  <si>
    <t>OT-2026001</t>
  </si>
  <si>
    <t>Monday</t>
  </si>
  <si>
    <t>Cliente 001</t>
  </si>
  <si>
    <t>P00-1000</t>
  </si>
  <si>
    <t>Hyundai</t>
  </si>
  <si>
    <t>TUCSON 2.0 MT</t>
  </si>
  <si>
    <t>Mantenimiento 30.000 km</t>
  </si>
  <si>
    <t>Planificada</t>
  </si>
  <si>
    <t>Marie Dubois</t>
  </si>
  <si>
    <t>Marco Rossi</t>
  </si>
  <si>
    <t>B1</t>
  </si>
  <si>
    <t>Media</t>
  </si>
  <si>
    <t>Sí</t>
  </si>
  <si>
    <t>Programación válida</t>
  </si>
  <si>
    <t>OT-2026002</t>
  </si>
  <si>
    <t>Cliente 002</t>
  </si>
  <si>
    <t>P01-1001</t>
  </si>
  <si>
    <t>ACCENT</t>
  </si>
  <si>
    <t>Mantenimiento 5.000 km</t>
  </si>
  <si>
    <t>Proyectada</t>
  </si>
  <si>
    <t>Giulia Bianchi</t>
  </si>
  <si>
    <t>B2</t>
  </si>
  <si>
    <t>Baja</t>
  </si>
  <si>
    <t>OT-2026003</t>
  </si>
  <si>
    <t>Wednesday</t>
  </si>
  <si>
    <t>Cliente 003</t>
  </si>
  <si>
    <t>P02-1002</t>
  </si>
  <si>
    <t>I10</t>
  </si>
  <si>
    <t>Mantenimiento 1.500 km</t>
  </si>
  <si>
    <t>B3</t>
  </si>
  <si>
    <t>OT-2026004</t>
  </si>
  <si>
    <t>Cliente 004</t>
  </si>
  <si>
    <t>P03-1003</t>
  </si>
  <si>
    <t>Mantenimiento 15.000 km</t>
  </si>
  <si>
    <t>Anne Peeters</t>
  </si>
  <si>
    <t>B4</t>
  </si>
  <si>
    <t>OT-2026005</t>
  </si>
  <si>
    <t>Cliente 005</t>
  </si>
  <si>
    <t>P04-1004</t>
  </si>
  <si>
    <t>VERACRUZ 3.8 V6</t>
  </si>
  <si>
    <t>Mantenimiento 40.000 km</t>
  </si>
  <si>
    <t>En desarrollo</t>
  </si>
  <si>
    <t>B5</t>
  </si>
  <si>
    <t>OT-2026006</t>
  </si>
  <si>
    <t>Tuesday</t>
  </si>
  <si>
    <t>Cliente 006</t>
  </si>
  <si>
    <t>P05-1005</t>
  </si>
  <si>
    <t>B6</t>
  </si>
  <si>
    <t>OT-2026007</t>
  </si>
  <si>
    <t>Friday</t>
  </si>
  <si>
    <t>Cliente 007</t>
  </si>
  <si>
    <t>P06-1006</t>
  </si>
  <si>
    <t>SANTA FE 2.4 MT</t>
  </si>
  <si>
    <t>OT-2026008</t>
  </si>
  <si>
    <t>Cliente 008</t>
  </si>
  <si>
    <t>P07-1007</t>
  </si>
  <si>
    <t>i30</t>
  </si>
  <si>
    <t>Mantenimiento 55.000 km</t>
  </si>
  <si>
    <t>OT-2026009</t>
  </si>
  <si>
    <t>Cliente 009</t>
  </si>
  <si>
    <t>P08-1008</t>
  </si>
  <si>
    <t>Sophie Janssens</t>
  </si>
  <si>
    <t>OT-2026010</t>
  </si>
  <si>
    <t>Thursday</t>
  </si>
  <si>
    <t>Cliente 010</t>
  </si>
  <si>
    <t>P09-1009</t>
  </si>
  <si>
    <t>OT-2026011</t>
  </si>
  <si>
    <t>Cliente 011</t>
  </si>
  <si>
    <t>P10-1010</t>
  </si>
  <si>
    <t>OT-2026012</t>
  </si>
  <si>
    <t>Cliente 012</t>
  </si>
  <si>
    <t>P11-1011</t>
  </si>
  <si>
    <t>ELANTRA</t>
  </si>
  <si>
    <t>Prevista</t>
  </si>
  <si>
    <t>OT-2026013</t>
  </si>
  <si>
    <t>Cliente 013</t>
  </si>
  <si>
    <t>P12-1012</t>
  </si>
  <si>
    <t>TERRACAN 2.9 D</t>
  </si>
  <si>
    <t>Mantenimiento 50.000 km</t>
  </si>
  <si>
    <t>OT-2026014</t>
  </si>
  <si>
    <t>Cliente 014</t>
  </si>
  <si>
    <t>P13-1013</t>
  </si>
  <si>
    <t>OT-2026015</t>
  </si>
  <si>
    <t>Cliente 015</t>
  </si>
  <si>
    <t>P14-1014</t>
  </si>
  <si>
    <t>OT-2026016</t>
  </si>
  <si>
    <t>Cliente 016</t>
  </si>
  <si>
    <t>P15-1015</t>
  </si>
  <si>
    <t>OT-2026017</t>
  </si>
  <si>
    <t>Cliente 017</t>
  </si>
  <si>
    <t>P16-1016</t>
  </si>
  <si>
    <t>OT-2026018</t>
  </si>
  <si>
    <t>Cliente 018</t>
  </si>
  <si>
    <t>P17-1017</t>
  </si>
  <si>
    <t>OT-2026019</t>
  </si>
  <si>
    <t>Cliente 019</t>
  </si>
  <si>
    <t>P18-1018</t>
  </si>
  <si>
    <t>Jan Peeters</t>
  </si>
  <si>
    <t>OT-2026020</t>
  </si>
  <si>
    <t>Cliente 020</t>
  </si>
  <si>
    <t>P19-1019</t>
  </si>
  <si>
    <t>OT-2026021</t>
  </si>
  <si>
    <t>Cliente 021</t>
  </si>
  <si>
    <t>P20-1020</t>
  </si>
  <si>
    <t>OT-2026022</t>
  </si>
  <si>
    <t>Cliente 022</t>
  </si>
  <si>
    <t>P21-1021</t>
  </si>
  <si>
    <t>OT-2026023</t>
  </si>
  <si>
    <t>Cliente 023</t>
  </si>
  <si>
    <t>P22-1022</t>
  </si>
  <si>
    <t>GETZ</t>
  </si>
  <si>
    <t>OT-2026024</t>
  </si>
  <si>
    <t>Cliente 024</t>
  </si>
  <si>
    <t>P23-1023</t>
  </si>
  <si>
    <t>Mantenimiento 45.000 km</t>
  </si>
  <si>
    <t>OT-2026025</t>
  </si>
  <si>
    <t>Cliente 025</t>
  </si>
  <si>
    <t>P24-1024</t>
  </si>
  <si>
    <t>OT-2026026</t>
  </si>
  <si>
    <t>Cliente 026</t>
  </si>
  <si>
    <t>P25-1025</t>
  </si>
  <si>
    <t>Pierre Dubois</t>
  </si>
  <si>
    <t>OT-2026027</t>
  </si>
  <si>
    <t>Cliente 027</t>
  </si>
  <si>
    <t>P00-1026</t>
  </si>
  <si>
    <t>Willem Janssens</t>
  </si>
  <si>
    <t>OT-2026028</t>
  </si>
  <si>
    <t>Cliente 028</t>
  </si>
  <si>
    <t>P01-1027</t>
  </si>
  <si>
    <t>MATRIX</t>
  </si>
  <si>
    <t>OT-2026029</t>
  </si>
  <si>
    <t>Cliente 029</t>
  </si>
  <si>
    <t>P02-1028</t>
  </si>
  <si>
    <t>Mantenimiento 35.000 km</t>
  </si>
  <si>
    <t>OT-2026030</t>
  </si>
  <si>
    <t>Cliente 030</t>
  </si>
  <si>
    <t>P03-1029</t>
  </si>
  <si>
    <t>OT-2026031</t>
  </si>
  <si>
    <t>Cliente 031</t>
  </si>
  <si>
    <t>P04-1030</t>
  </si>
  <si>
    <t>Mantenimiento 20.000 km</t>
  </si>
  <si>
    <t>OT-2026032</t>
  </si>
  <si>
    <t>Cliente 032</t>
  </si>
  <si>
    <t>P05-1031</t>
  </si>
  <si>
    <t>OT-2026033</t>
  </si>
  <si>
    <t>Cliente 033</t>
  </si>
  <si>
    <t>P06-1032</t>
  </si>
  <si>
    <t>OT-2026034</t>
  </si>
  <si>
    <t>Cliente 034</t>
  </si>
  <si>
    <t>P07-1033</t>
  </si>
  <si>
    <t>Mantenimiento 25.000 km</t>
  </si>
  <si>
    <t>OT-2026035</t>
  </si>
  <si>
    <t>Cliente 035</t>
  </si>
  <si>
    <t>P08-1034</t>
  </si>
  <si>
    <t>OT-2026036</t>
  </si>
  <si>
    <t>Cliente 036</t>
  </si>
  <si>
    <t>P09-1035</t>
  </si>
  <si>
    <t>OT-2026037</t>
  </si>
  <si>
    <t>Cliente 037</t>
  </si>
  <si>
    <t>P10-1036</t>
  </si>
  <si>
    <t>OT-2026038</t>
  </si>
  <si>
    <t>Cliente 038</t>
  </si>
  <si>
    <t>P11-1037</t>
  </si>
  <si>
    <t>OT-2026039</t>
  </si>
  <si>
    <t>Cliente 039</t>
  </si>
  <si>
    <t>P12-1038</t>
  </si>
  <si>
    <t>OT-2026040</t>
  </si>
  <si>
    <t>Cliente 040</t>
  </si>
  <si>
    <t>P13-1039</t>
  </si>
  <si>
    <t>OT-2026041</t>
  </si>
  <si>
    <t>Cliente 041</t>
  </si>
  <si>
    <t>P14-1040</t>
  </si>
  <si>
    <t>TUCSON 2.0 AT</t>
  </si>
  <si>
    <t>OT-2026042</t>
  </si>
  <si>
    <t>Cliente 042</t>
  </si>
  <si>
    <t>P15-1041</t>
  </si>
  <si>
    <t>OT-2026043</t>
  </si>
  <si>
    <t>Cliente 043</t>
  </si>
  <si>
    <t>P16-1042</t>
  </si>
  <si>
    <t>OT-2026044</t>
  </si>
  <si>
    <t>Cliente 044</t>
  </si>
  <si>
    <t>P17-1043</t>
  </si>
  <si>
    <t>OT-2026045</t>
  </si>
  <si>
    <t>Cliente 045</t>
  </si>
  <si>
    <t>P18-1044</t>
  </si>
  <si>
    <t>OT-2026046</t>
  </si>
  <si>
    <t>Cliente 046</t>
  </si>
  <si>
    <t>P19-1045</t>
  </si>
  <si>
    <t>OT-2026047</t>
  </si>
  <si>
    <t>Cliente 047</t>
  </si>
  <si>
    <t>P20-1046</t>
  </si>
  <si>
    <t>OT-2026048</t>
  </si>
  <si>
    <t>Cliente 048</t>
  </si>
  <si>
    <t>P21-1047</t>
  </si>
  <si>
    <t>OT-2026049</t>
  </si>
  <si>
    <t>Cliente 049</t>
  </si>
  <si>
    <t>P22-1048</t>
  </si>
  <si>
    <t>OT-2026050</t>
  </si>
  <si>
    <t>Cliente 050</t>
  </si>
  <si>
    <t>P23-1049</t>
  </si>
  <si>
    <t>OT-2026051</t>
  </si>
  <si>
    <t>Cliente 051</t>
  </si>
  <si>
    <t>P24-1050</t>
  </si>
  <si>
    <t>OT-2026052</t>
  </si>
  <si>
    <t>Cliente 052</t>
  </si>
  <si>
    <t>P25-1051</t>
  </si>
  <si>
    <t>OT-2026053</t>
  </si>
  <si>
    <t>Cliente 053</t>
  </si>
  <si>
    <t>P00-1052</t>
  </si>
  <si>
    <t>OT-2026054</t>
  </si>
  <si>
    <t>Cliente 054</t>
  </si>
  <si>
    <t>P01-1053</t>
  </si>
  <si>
    <t>SANTA FE 2.2 D AT</t>
  </si>
  <si>
    <t>OT-2026055</t>
  </si>
  <si>
    <t>Cliente 055</t>
  </si>
  <si>
    <t>P02-1054</t>
  </si>
  <si>
    <t>OT-2026056</t>
  </si>
  <si>
    <t>Cliente 056</t>
  </si>
  <si>
    <t>P03-1055</t>
  </si>
  <si>
    <t>OT-2026057</t>
  </si>
  <si>
    <t>Cliente 057</t>
  </si>
  <si>
    <t>P04-1056</t>
  </si>
  <si>
    <t>OT-2026058</t>
  </si>
  <si>
    <t>Cliente 058</t>
  </si>
  <si>
    <t>P05-1057</t>
  </si>
  <si>
    <t>OT-2026059</t>
  </si>
  <si>
    <t>Cliente 059</t>
  </si>
  <si>
    <t>P06-1058</t>
  </si>
  <si>
    <t>OT-2026060</t>
  </si>
  <si>
    <t>Cliente 060</t>
  </si>
  <si>
    <t>P07-1059</t>
  </si>
  <si>
    <t>OT-2026061</t>
  </si>
  <si>
    <t>Cliente 061</t>
  </si>
  <si>
    <t>P08-1060</t>
  </si>
  <si>
    <t>OT-2026062</t>
  </si>
  <si>
    <t>Cliente 062</t>
  </si>
  <si>
    <t>P09-1061</t>
  </si>
  <si>
    <t>H-100</t>
  </si>
  <si>
    <t>OT-2026063</t>
  </si>
  <si>
    <t>Cliente 063</t>
  </si>
  <si>
    <t>P10-1062</t>
  </si>
  <si>
    <t>OT-2026064</t>
  </si>
  <si>
    <t>Cliente 064</t>
  </si>
  <si>
    <t>P11-1063</t>
  </si>
  <si>
    <t>OT-2026065</t>
  </si>
  <si>
    <t>Cliente 065</t>
  </si>
  <si>
    <t>P12-1064</t>
  </si>
  <si>
    <t>OT-2026066</t>
  </si>
  <si>
    <t>Cliente 066</t>
  </si>
  <si>
    <t>P13-1065</t>
  </si>
  <si>
    <t>OT-2026067</t>
  </si>
  <si>
    <t>Cliente 067</t>
  </si>
  <si>
    <t>P14-1066</t>
  </si>
  <si>
    <t>Parada</t>
  </si>
  <si>
    <t>Finaliza el 27/07/2026</t>
  </si>
  <si>
    <t>OT-2026068</t>
  </si>
  <si>
    <t>Cliente 068</t>
  </si>
  <si>
    <t>P15-1067</t>
  </si>
  <si>
    <t>OT-2026069</t>
  </si>
  <si>
    <t>Cliente 069</t>
  </si>
  <si>
    <t>P16-1068</t>
  </si>
  <si>
    <t>OT-2026070</t>
  </si>
  <si>
    <t>Cliente 070</t>
  </si>
  <si>
    <t>P17-1069</t>
  </si>
  <si>
    <t>OT-2026071</t>
  </si>
  <si>
    <t>Cliente 071</t>
  </si>
  <si>
    <t>P18-1070</t>
  </si>
  <si>
    <t>OT-2026072</t>
  </si>
  <si>
    <t>Cliente 072</t>
  </si>
  <si>
    <t>P19-1071</t>
  </si>
  <si>
    <t>OT-2026073</t>
  </si>
  <si>
    <t>Cliente 073</t>
  </si>
  <si>
    <t>P20-1072</t>
  </si>
  <si>
    <t>OT-2026074</t>
  </si>
  <si>
    <t>Cliente 074</t>
  </si>
  <si>
    <t>P21-1073</t>
  </si>
  <si>
    <t>OT-2026075</t>
  </si>
  <si>
    <t>Cliente 075</t>
  </si>
  <si>
    <t>P22-1074</t>
  </si>
  <si>
    <t>OT-2026076</t>
  </si>
  <si>
    <t>Cliente 076</t>
  </si>
  <si>
    <t>P23-1075</t>
  </si>
  <si>
    <t>OT-2026077</t>
  </si>
  <si>
    <t>Cliente 077</t>
  </si>
  <si>
    <t>P24-1076</t>
  </si>
  <si>
    <t>Mantenimiento 10.000 km</t>
  </si>
  <si>
    <t>OT-2026078</t>
  </si>
  <si>
    <t>Cliente 078</t>
  </si>
  <si>
    <t>P25-1077</t>
  </si>
  <si>
    <t>OT-2026079</t>
  </si>
  <si>
    <t>Cliente 079</t>
  </si>
  <si>
    <t>P00-1078</t>
  </si>
  <si>
    <t>OT-2026080</t>
  </si>
  <si>
    <t>Cliente 080</t>
  </si>
  <si>
    <t>P01-1079</t>
  </si>
  <si>
    <t>OT-2026081</t>
  </si>
  <si>
    <t>Cliente 081</t>
  </si>
  <si>
    <t>P02-1080</t>
  </si>
  <si>
    <t>OT-2026082</t>
  </si>
  <si>
    <t>Cliente 082</t>
  </si>
  <si>
    <t>P03-1081</t>
  </si>
  <si>
    <t>OT-2026083</t>
  </si>
  <si>
    <t>Cliente 083</t>
  </si>
  <si>
    <t>P04-1082</t>
  </si>
  <si>
    <t>OT-2026084</t>
  </si>
  <si>
    <t>Cliente 084</t>
  </si>
  <si>
    <t>P05-1083</t>
  </si>
  <si>
    <t>OT-2026085</t>
  </si>
  <si>
    <t>Cliente 085</t>
  </si>
  <si>
    <t>P06-1084</t>
  </si>
  <si>
    <t>OT-2026086</t>
  </si>
  <si>
    <t>Cliente 086</t>
  </si>
  <si>
    <t>P07-1085</t>
  </si>
  <si>
    <t>OT-2026087</t>
  </si>
  <si>
    <t>Cliente 087</t>
  </si>
  <si>
    <t>P08-1086</t>
  </si>
  <si>
    <t>OT-2026088</t>
  </si>
  <si>
    <t>Cliente 088</t>
  </si>
  <si>
    <t>P09-1087</t>
  </si>
  <si>
    <t>OT-2026089</t>
  </si>
  <si>
    <t>Cliente 089</t>
  </si>
  <si>
    <t>P10-1088</t>
  </si>
  <si>
    <t>OT-2026090</t>
  </si>
  <si>
    <t>Cliente 090</t>
  </si>
  <si>
    <t>P11-1089</t>
  </si>
  <si>
    <t>OT-2026091</t>
  </si>
  <si>
    <t>Cliente 091</t>
  </si>
  <si>
    <t>P12-1090</t>
  </si>
  <si>
    <t>OT-2026092</t>
  </si>
  <si>
    <t>Cliente 092</t>
  </si>
  <si>
    <t>P13-1091</t>
  </si>
  <si>
    <t>OT-2026093</t>
  </si>
  <si>
    <t>Cliente 093</t>
  </si>
  <si>
    <t>P14-1092</t>
  </si>
  <si>
    <t>OT-2026094</t>
  </si>
  <si>
    <t>Cliente 094</t>
  </si>
  <si>
    <t>P15-1093</t>
  </si>
  <si>
    <t>OT-2026095</t>
  </si>
  <si>
    <t>Cliente 095</t>
  </si>
  <si>
    <t>P16-1094</t>
  </si>
  <si>
    <t>OT-2026096</t>
  </si>
  <si>
    <t>Cliente 096</t>
  </si>
  <si>
    <t>P17-1095</t>
  </si>
  <si>
    <t>OT-2026097</t>
  </si>
  <si>
    <t>Cliente 097</t>
  </si>
  <si>
    <t>P18-1096</t>
  </si>
  <si>
    <t>OT-2026098</t>
  </si>
  <si>
    <t>Cliente 098</t>
  </si>
  <si>
    <t>P19-1097</t>
  </si>
  <si>
    <t>OT-2026099</t>
  </si>
  <si>
    <t>Cliente 099</t>
  </si>
  <si>
    <t>P20-1098</t>
  </si>
  <si>
    <t>OT-2026100</t>
  </si>
  <si>
    <t>Cliente 100</t>
  </si>
  <si>
    <t>P21-1099</t>
  </si>
  <si>
    <t>OT-2026101</t>
  </si>
  <si>
    <t>Cliente 101</t>
  </si>
  <si>
    <t>P22-1100</t>
  </si>
  <si>
    <t>OT-2026102</t>
  </si>
  <si>
    <t>Cliente 102</t>
  </si>
  <si>
    <t>P23-1101</t>
  </si>
  <si>
    <t>OT-2026103</t>
  </si>
  <si>
    <t>Cliente 103</t>
  </si>
  <si>
    <t>P24-1102</t>
  </si>
  <si>
    <t>OT-2026104</t>
  </si>
  <si>
    <t>Cliente 104</t>
  </si>
  <si>
    <t>P25-1103</t>
  </si>
  <si>
    <t>OT-2026105</t>
  </si>
  <si>
    <t>Cliente 105</t>
  </si>
  <si>
    <t>P00-1104</t>
  </si>
  <si>
    <t>OT-2026106</t>
  </si>
  <si>
    <t>Cliente 106</t>
  </si>
  <si>
    <t>P01-1105</t>
  </si>
  <si>
    <t>OT-2026107</t>
  </si>
  <si>
    <t>Cliente 107</t>
  </si>
  <si>
    <t>P02-1106</t>
  </si>
  <si>
    <t>OT-2026108</t>
  </si>
  <si>
    <t>Cliente 108</t>
  </si>
  <si>
    <t>P03-1107</t>
  </si>
  <si>
    <t>OT-2026109</t>
  </si>
  <si>
    <t>Cliente 109</t>
  </si>
  <si>
    <t>P04-1108</t>
  </si>
  <si>
    <t>OT-2026110</t>
  </si>
  <si>
    <t>Cliente 110</t>
  </si>
  <si>
    <t>P05-1109</t>
  </si>
  <si>
    <t>OT-2026111</t>
  </si>
  <si>
    <t>Cliente 111</t>
  </si>
  <si>
    <t>P06-1110</t>
  </si>
  <si>
    <t>OT-2026112</t>
  </si>
  <si>
    <t>Cliente 112</t>
  </si>
  <si>
    <t>P07-1111</t>
  </si>
  <si>
    <t>OT-2026113</t>
  </si>
  <si>
    <t>Cliente 113</t>
  </si>
  <si>
    <t>P08-1112</t>
  </si>
  <si>
    <t>OT-2026114</t>
  </si>
  <si>
    <t>Cliente 114</t>
  </si>
  <si>
    <t>P09-1113</t>
  </si>
  <si>
    <t>OT-2026115</t>
  </si>
  <si>
    <t>Cliente 115</t>
  </si>
  <si>
    <t>P10-1114</t>
  </si>
  <si>
    <t>OT-2026116</t>
  </si>
  <si>
    <t>Cliente 116</t>
  </si>
  <si>
    <t>P11-1115</t>
  </si>
  <si>
    <t>OT-2026117</t>
  </si>
  <si>
    <t>Cliente 117</t>
  </si>
  <si>
    <t>P12-1116</t>
  </si>
  <si>
    <t>OT-2026118</t>
  </si>
  <si>
    <t>Cliente 118</t>
  </si>
  <si>
    <t>P13-1117</t>
  </si>
  <si>
    <t>OT-2026119</t>
  </si>
  <si>
    <t>Cliente 119</t>
  </si>
  <si>
    <t>P14-1118</t>
  </si>
  <si>
    <t>OT-2026120</t>
  </si>
  <si>
    <t>Cliente 120</t>
  </si>
  <si>
    <t>P15-1119</t>
  </si>
  <si>
    <t>OT-2026121</t>
  </si>
  <si>
    <t>Cliente 121</t>
  </si>
  <si>
    <t>P16-1120</t>
  </si>
  <si>
    <t>OT-2026122</t>
  </si>
  <si>
    <t>Cliente 122</t>
  </si>
  <si>
    <t>P17-1121</t>
  </si>
  <si>
    <t>OT-2026123</t>
  </si>
  <si>
    <t>Cliente 123</t>
  </si>
  <si>
    <t>P18-1122</t>
  </si>
  <si>
    <t>OT-2026124</t>
  </si>
  <si>
    <t>Cliente 124</t>
  </si>
  <si>
    <t>P19-1123</t>
  </si>
  <si>
    <t>OT-2026125</t>
  </si>
  <si>
    <t>Cliente 125</t>
  </si>
  <si>
    <t>P20-1124</t>
  </si>
  <si>
    <t>OT-2026126</t>
  </si>
  <si>
    <t>Cliente 126</t>
  </si>
  <si>
    <t>P21-1125</t>
  </si>
  <si>
    <t>OT-2026127</t>
  </si>
  <si>
    <t>Cliente 127</t>
  </si>
  <si>
    <t>P22-1126</t>
  </si>
  <si>
    <t>OT-2026128</t>
  </si>
  <si>
    <t>Cliente 128</t>
  </si>
  <si>
    <t>P23-1127</t>
  </si>
  <si>
    <t>OT-2026129</t>
  </si>
  <si>
    <t>Cliente 129</t>
  </si>
  <si>
    <t>P24-1128</t>
  </si>
  <si>
    <t>OT-2026130</t>
  </si>
  <si>
    <t>Cliente 130</t>
  </si>
  <si>
    <t>P25-1129</t>
  </si>
  <si>
    <t>OT-2026131</t>
  </si>
  <si>
    <t>Cliente 131</t>
  </si>
  <si>
    <t>P00-1130</t>
  </si>
  <si>
    <t>OT-2026132</t>
  </si>
  <si>
    <t>Cliente 132</t>
  </si>
  <si>
    <t>P01-1131</t>
  </si>
  <si>
    <t>OT-2026133</t>
  </si>
  <si>
    <t>Cliente 133</t>
  </si>
  <si>
    <t>P02-1132</t>
  </si>
  <si>
    <t>OT-2026134</t>
  </si>
  <si>
    <t>Cliente 134</t>
  </si>
  <si>
    <t>P03-1133</t>
  </si>
  <si>
    <t>OT-2026135</t>
  </si>
  <si>
    <t>Cliente 135</t>
  </si>
  <si>
    <t>P04-1134</t>
  </si>
  <si>
    <t>OT-2026136</t>
  </si>
  <si>
    <t>Cliente 136</t>
  </si>
  <si>
    <t>P05-1135</t>
  </si>
  <si>
    <t>OT-2026137</t>
  </si>
  <si>
    <t>Cliente 137</t>
  </si>
  <si>
    <t>P06-1136</t>
  </si>
  <si>
    <t>OT-2026138</t>
  </si>
  <si>
    <t>Cliente 138</t>
  </si>
  <si>
    <t>P07-1137</t>
  </si>
  <si>
    <t>OT-2026139</t>
  </si>
  <si>
    <t>Cliente 139</t>
  </si>
  <si>
    <t>P08-1138</t>
  </si>
  <si>
    <t>OT-2026140</t>
  </si>
  <si>
    <t>Cliente 140</t>
  </si>
  <si>
    <t>P09-1139</t>
  </si>
  <si>
    <t>OT-2026141</t>
  </si>
  <si>
    <t>Cliente 141</t>
  </si>
  <si>
    <t>P10-1140</t>
  </si>
  <si>
    <t>OT-2026142</t>
  </si>
  <si>
    <t>Cliente 142</t>
  </si>
  <si>
    <t>P11-1141</t>
  </si>
  <si>
    <t>OT-2026143</t>
  </si>
  <si>
    <t>Cliente 143</t>
  </si>
  <si>
    <t>P12-1142</t>
  </si>
  <si>
    <t>OT-2026144</t>
  </si>
  <si>
    <t>Cliente 144</t>
  </si>
  <si>
    <t>P13-1143</t>
  </si>
  <si>
    <t>OT-2026145</t>
  </si>
  <si>
    <t>Cliente 145</t>
  </si>
  <si>
    <t>P14-1144</t>
  </si>
  <si>
    <t>OT-2026146</t>
  </si>
  <si>
    <t>Cliente 146</t>
  </si>
  <si>
    <t>P15-1145</t>
  </si>
  <si>
    <t>OT-2026147</t>
  </si>
  <si>
    <t>Cliente 147</t>
  </si>
  <si>
    <t>P16-1146</t>
  </si>
  <si>
    <t>OT-2026148</t>
  </si>
  <si>
    <t>Cliente 148</t>
  </si>
  <si>
    <t>P17-1147</t>
  </si>
  <si>
    <t>OT-2026149</t>
  </si>
  <si>
    <t>Cliente 149</t>
  </si>
  <si>
    <t>P18-1148</t>
  </si>
  <si>
    <t>OT-2026150</t>
  </si>
  <si>
    <t>Cliente 150</t>
  </si>
  <si>
    <t>P19-1149</t>
  </si>
  <si>
    <t>OT-2026151</t>
  </si>
  <si>
    <t>Cliente 151</t>
  </si>
  <si>
    <t>P20-1150</t>
  </si>
  <si>
    <t>OT-2026152</t>
  </si>
  <si>
    <t>Cliente 152</t>
  </si>
  <si>
    <t>P21-1151</t>
  </si>
  <si>
    <t>OT-2026153</t>
  </si>
  <si>
    <t>Cliente 153</t>
  </si>
  <si>
    <t>P22-1152</t>
  </si>
  <si>
    <t>OT-2026154</t>
  </si>
  <si>
    <t>Cliente 154</t>
  </si>
  <si>
    <t>P23-1153</t>
  </si>
  <si>
    <t>OT-2026155</t>
  </si>
  <si>
    <t>Cliente 155</t>
  </si>
  <si>
    <t>P24-1154</t>
  </si>
  <si>
    <t>OT-2026156</t>
  </si>
  <si>
    <t>Cliente 156</t>
  </si>
  <si>
    <t>P25-1155</t>
  </si>
  <si>
    <t>OT-2026157</t>
  </si>
  <si>
    <t>Cliente 157</t>
  </si>
  <si>
    <t>P00-1156</t>
  </si>
  <si>
    <t>OT-2026158</t>
  </si>
  <si>
    <t>Cliente 158</t>
  </si>
  <si>
    <t>P01-1157</t>
  </si>
  <si>
    <t>OT-2026159</t>
  </si>
  <si>
    <t>Cliente 159</t>
  </si>
  <si>
    <t>P02-1158</t>
  </si>
  <si>
    <t>OT-2026160</t>
  </si>
  <si>
    <t>Cliente 160</t>
  </si>
  <si>
    <t>P03-1159</t>
  </si>
  <si>
    <t>OT-2026161</t>
  </si>
  <si>
    <t>Cliente 161</t>
  </si>
  <si>
    <t>P04-1160</t>
  </si>
  <si>
    <t>OT-2026162</t>
  </si>
  <si>
    <t>Cliente 162</t>
  </si>
  <si>
    <t>P05-1161</t>
  </si>
  <si>
    <t>OT-2026163</t>
  </si>
  <si>
    <t>Cliente 163</t>
  </si>
  <si>
    <t>P06-1162</t>
  </si>
  <si>
    <t>OT-2026164</t>
  </si>
  <si>
    <t>Cliente 164</t>
  </si>
  <si>
    <t>P07-1163</t>
  </si>
  <si>
    <t>OT-2026165</t>
  </si>
  <si>
    <t>Cliente 165</t>
  </si>
  <si>
    <t>P08-1164</t>
  </si>
  <si>
    <t>OT-2026166</t>
  </si>
  <si>
    <t>Cliente 166</t>
  </si>
  <si>
    <t>P09-1165</t>
  </si>
  <si>
    <t>OT-2026167</t>
  </si>
  <si>
    <t>Cliente 167</t>
  </si>
  <si>
    <t>P10-1166</t>
  </si>
  <si>
    <t>OT-2026168</t>
  </si>
  <si>
    <t>Cliente 168</t>
  </si>
  <si>
    <t>P11-1167</t>
  </si>
  <si>
    <t>OT-2026169</t>
  </si>
  <si>
    <t>Cliente 169</t>
  </si>
  <si>
    <t>P12-1168</t>
  </si>
  <si>
    <t>OT-2026170</t>
  </si>
  <si>
    <t>Cliente 170</t>
  </si>
  <si>
    <t>P13-1169</t>
  </si>
  <si>
    <t>OT-2026171</t>
  </si>
  <si>
    <t>Cliente 171</t>
  </si>
  <si>
    <t>P14-1170</t>
  </si>
  <si>
    <t>OT-2026172</t>
  </si>
  <si>
    <t>Cliente 172</t>
  </si>
  <si>
    <t>P15-1171</t>
  </si>
  <si>
    <t>OT-2026173</t>
  </si>
  <si>
    <t>Cliente 173</t>
  </si>
  <si>
    <t>P16-1172</t>
  </si>
  <si>
    <t>OT-2026174</t>
  </si>
  <si>
    <t>Cliente 174</t>
  </si>
  <si>
    <t>P17-1173</t>
  </si>
  <si>
    <t>OT-2026175</t>
  </si>
  <si>
    <t>Cliente 175</t>
  </si>
  <si>
    <t>P18-1174</t>
  </si>
  <si>
    <t>OT-2026176</t>
  </si>
  <si>
    <t>Cliente 176</t>
  </si>
  <si>
    <t>P19-1175</t>
  </si>
  <si>
    <t>OT-2026177</t>
  </si>
  <si>
    <t>Cliente 177</t>
  </si>
  <si>
    <t>P20-1176</t>
  </si>
  <si>
    <t>OT-2026178</t>
  </si>
  <si>
    <t>Cliente 178</t>
  </si>
  <si>
    <t>P21-1177</t>
  </si>
  <si>
    <t>OT-2026179</t>
  </si>
  <si>
    <t>Cliente 179</t>
  </si>
  <si>
    <t>P22-1178</t>
  </si>
  <si>
    <t>OT-2026180</t>
  </si>
  <si>
    <t>Cliente 180</t>
  </si>
  <si>
    <t>P23-1179</t>
  </si>
  <si>
    <t>OT-2026181</t>
  </si>
  <si>
    <t>Cliente 181</t>
  </si>
  <si>
    <t>P24-1180</t>
  </si>
  <si>
    <t>OT-2026182</t>
  </si>
  <si>
    <t>Cliente 182</t>
  </si>
  <si>
    <t>P25-1181</t>
  </si>
  <si>
    <t>OT-2026183</t>
  </si>
  <si>
    <t>Cliente 183</t>
  </si>
  <si>
    <t>P00-1182</t>
  </si>
  <si>
    <t>OT-2026184</t>
  </si>
  <si>
    <t>Cliente 184</t>
  </si>
  <si>
    <t>P01-1183</t>
  </si>
  <si>
    <t>OT-2026185</t>
  </si>
  <si>
    <t>Cliente 185</t>
  </si>
  <si>
    <t>P02-1184</t>
  </si>
  <si>
    <t>OT-2026186</t>
  </si>
  <si>
    <t>Cliente 186</t>
  </si>
  <si>
    <t>P03-1185</t>
  </si>
  <si>
    <t>OT-2026187</t>
  </si>
  <si>
    <t>Cliente 187</t>
  </si>
  <si>
    <t>P04-1186</t>
  </si>
  <si>
    <t>OT-2026188</t>
  </si>
  <si>
    <t>Cliente 188</t>
  </si>
  <si>
    <t>P05-1187</t>
  </si>
  <si>
    <t>OT-2026189</t>
  </si>
  <si>
    <t>Cliente 189</t>
  </si>
  <si>
    <t>P06-1188</t>
  </si>
  <si>
    <t>OT-2026190</t>
  </si>
  <si>
    <t>Cliente 190</t>
  </si>
  <si>
    <t>P07-1189</t>
  </si>
  <si>
    <t>OT-2026191</t>
  </si>
  <si>
    <t>Cliente 191</t>
  </si>
  <si>
    <t>P08-1190</t>
  </si>
  <si>
    <t>OT-2026192</t>
  </si>
  <si>
    <t>Cliente 192</t>
  </si>
  <si>
    <t>P09-1191</t>
  </si>
  <si>
    <t>OT-2026193</t>
  </si>
  <si>
    <t>Cliente 193</t>
  </si>
  <si>
    <t>P10-1192</t>
  </si>
  <si>
    <t>OT-2026194</t>
  </si>
  <si>
    <t>Cliente 194</t>
  </si>
  <si>
    <t>P11-1193</t>
  </si>
  <si>
    <t>OT-2026195</t>
  </si>
  <si>
    <t>Cliente 195</t>
  </si>
  <si>
    <t>P12-1194</t>
  </si>
  <si>
    <t>OT-2026196</t>
  </si>
  <si>
    <t>Cliente 196</t>
  </si>
  <si>
    <t>P13-1195</t>
  </si>
  <si>
    <t>OT-2026197</t>
  </si>
  <si>
    <t>Cliente 197</t>
  </si>
  <si>
    <t>P14-1196</t>
  </si>
  <si>
    <t>OT-2026198</t>
  </si>
  <si>
    <t>Cliente 198</t>
  </si>
  <si>
    <t>P15-1197</t>
  </si>
  <si>
    <t>OT-2026199</t>
  </si>
  <si>
    <t>Cliente 199</t>
  </si>
  <si>
    <t>P16-1198</t>
  </si>
  <si>
    <t>OT-2026200</t>
  </si>
  <si>
    <t>Cliente 200</t>
  </si>
  <si>
    <t>P17-1199</t>
  </si>
  <si>
    <t>OT-2026201</t>
  </si>
  <si>
    <t>Cliente 201</t>
  </si>
  <si>
    <t>P18-1200</t>
  </si>
  <si>
    <t>OT-2026202</t>
  </si>
  <si>
    <t>Cliente 202</t>
  </si>
  <si>
    <t>P19-1201</t>
  </si>
  <si>
    <t>OT-2026203</t>
  </si>
  <si>
    <t>Cliente 203</t>
  </si>
  <si>
    <t>P20-1202</t>
  </si>
  <si>
    <t>OT-2026204</t>
  </si>
  <si>
    <t>Cliente 204</t>
  </si>
  <si>
    <t>P21-1203</t>
  </si>
  <si>
    <t>OT-2026205</t>
  </si>
  <si>
    <t>Cliente 205</t>
  </si>
  <si>
    <t>P22-1204</t>
  </si>
  <si>
    <t>OT-2026206</t>
  </si>
  <si>
    <t>Cliente 206</t>
  </si>
  <si>
    <t>P23-1205</t>
  </si>
  <si>
    <t>OT-2026207</t>
  </si>
  <si>
    <t>Cliente 207</t>
  </si>
  <si>
    <t>P24-1206</t>
  </si>
  <si>
    <t>OT-2026208</t>
  </si>
  <si>
    <t>Cliente 208</t>
  </si>
  <si>
    <t>P25-1207</t>
  </si>
  <si>
    <t>OT-2026209</t>
  </si>
  <si>
    <t>Cliente 209</t>
  </si>
  <si>
    <t>P00-1208</t>
  </si>
  <si>
    <t>OT-2026210</t>
  </si>
  <si>
    <t>Cliente 210</t>
  </si>
  <si>
    <t>P01-1209</t>
  </si>
  <si>
    <t>OT-2026211</t>
  </si>
  <si>
    <t>Cliente 211</t>
  </si>
  <si>
    <t>P02-1210</t>
  </si>
  <si>
    <t>OT-2026212</t>
  </si>
  <si>
    <t>Cliente 212</t>
  </si>
  <si>
    <t>P03-1211</t>
  </si>
  <si>
    <t>OT-2026213</t>
  </si>
  <si>
    <t>Cliente 213</t>
  </si>
  <si>
    <t>P04-1212</t>
  </si>
  <si>
    <t>OT-2026214</t>
  </si>
  <si>
    <t>Cliente 214</t>
  </si>
  <si>
    <t>P05-1213</t>
  </si>
  <si>
    <t>OT-2026215</t>
  </si>
  <si>
    <t>Cliente 215</t>
  </si>
  <si>
    <t>P06-1214</t>
  </si>
  <si>
    <t>OT-2026216</t>
  </si>
  <si>
    <t>Cliente 216</t>
  </si>
  <si>
    <t>P07-1215</t>
  </si>
  <si>
    <t>OT-2026217</t>
  </si>
  <si>
    <t>Cliente 217</t>
  </si>
  <si>
    <t>P08-1216</t>
  </si>
  <si>
    <t>OT-2026218</t>
  </si>
  <si>
    <t>Cliente 218</t>
  </si>
  <si>
    <t>P09-1217</t>
  </si>
  <si>
    <t>OT-2026219</t>
  </si>
  <si>
    <t>Cliente 219</t>
  </si>
  <si>
    <t>P10-1218</t>
  </si>
  <si>
    <t>OT-2026220</t>
  </si>
  <si>
    <t>Cliente 220</t>
  </si>
  <si>
    <t>P11-1219</t>
  </si>
  <si>
    <t>OT-2026221</t>
  </si>
  <si>
    <t>Cliente 221</t>
  </si>
  <si>
    <t>P12-1220</t>
  </si>
  <si>
    <t>OT-2026222</t>
  </si>
  <si>
    <t>Cliente 222</t>
  </si>
  <si>
    <t>P13-1221</t>
  </si>
  <si>
    <t>OT-2026223</t>
  </si>
  <si>
    <t>Cliente 223</t>
  </si>
  <si>
    <t>P14-1222</t>
  </si>
  <si>
    <t>OT-2026224</t>
  </si>
  <si>
    <t>Cliente 224</t>
  </si>
  <si>
    <t>P15-1223</t>
  </si>
  <si>
    <t>OT-2026225</t>
  </si>
  <si>
    <t>Cliente 225</t>
  </si>
  <si>
    <t>P16-1224</t>
  </si>
  <si>
    <t>OT-2026226</t>
  </si>
  <si>
    <t>Cliente 226</t>
  </si>
  <si>
    <t>P17-1225</t>
  </si>
  <si>
    <t>OT-2026227</t>
  </si>
  <si>
    <t>Cliente 227</t>
  </si>
  <si>
    <t>P18-1226</t>
  </si>
  <si>
    <t>OT-2026228</t>
  </si>
  <si>
    <t>Cliente 228</t>
  </si>
  <si>
    <t>P19-1227</t>
  </si>
  <si>
    <t>OT-2026229</t>
  </si>
  <si>
    <t>Cliente 229</t>
  </si>
  <si>
    <t>P20-1228</t>
  </si>
  <si>
    <t>OT-2026230</t>
  </si>
  <si>
    <t>Cliente 230</t>
  </si>
  <si>
    <t>P21-1229</t>
  </si>
  <si>
    <t>PLANNING SEMANAL – CARGA POR TÉCNICO</t>
  </si>
  <si>
    <t>Capacidad diaria</t>
  </si>
  <si>
    <t>TOTAL TALLER</t>
  </si>
  <si>
    <t>UTILIZACIÓN TALLER</t>
  </si>
  <si>
    <t>CONTROL DE CAPACIDAD Y DISPONIBILIDAD</t>
  </si>
  <si>
    <t>Capacidad normal</t>
  </si>
  <si>
    <t>Reserva 15%</t>
  </si>
  <si>
    <t>Capacidad programable</t>
  </si>
  <si>
    <t>Carga asignada</t>
  </si>
  <si>
    <t>Capacidad total</t>
  </si>
  <si>
    <t>Disponible</t>
  </si>
  <si>
    <t>Diagnóstico</t>
  </si>
  <si>
    <t>CONTROL DE CONFLICTOS Y REPROGRAMACIÓN</t>
  </si>
  <si>
    <t>Indicador</t>
  </si>
  <si>
    <t>Cantidad</t>
  </si>
  <si>
    <t>Criterio</t>
  </si>
  <si>
    <t>Regla</t>
  </si>
  <si>
    <t>Acción</t>
  </si>
  <si>
    <t>Responsable</t>
  </si>
  <si>
    <t>Prioridad</t>
  </si>
  <si>
    <t>Conflictos de técnico</t>
  </si>
  <si>
    <t>Cruce técnico</t>
  </si>
  <si>
    <t>Dos O.T. se solapan</t>
  </si>
  <si>
    <t>Reasignar técnico u horario</t>
  </si>
  <si>
    <t>Jefe de taller</t>
  </si>
  <si>
    <t>Alta</t>
  </si>
  <si>
    <t>Órdenes paradas</t>
  </si>
  <si>
    <t>Sobrecarga</t>
  </si>
  <si>
    <t>Utilización &gt; 100%</t>
  </si>
  <si>
    <t>Aplicar horas extra</t>
  </si>
  <si>
    <t>Entregas incumplidas</t>
  </si>
  <si>
    <t>Falta repuesto/autorización</t>
  </si>
  <si>
    <t>Seguimiento hasta 27/07</t>
  </si>
  <si>
    <t>Órdenes con horas extra</t>
  </si>
  <si>
    <t>Entrega tardía</t>
  </si>
  <si>
    <t>Entrega fuera del compromiso</t>
  </si>
  <si>
    <t>Ajustar procesos finales</t>
  </si>
  <si>
    <t>Órdenes válidas</t>
  </si>
  <si>
    <t>Reserva</t>
  </si>
  <si>
    <t>Mantener 15% disponible</t>
  </si>
  <si>
    <t>Aceptar urgencias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</si>
</sst>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dd\-mmm"/>
    <numFmt numFmtId="180" formatCode="dd/mm/yyyy\ hh:mm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9"/>
      <color rgb="FFFFFFFF"/>
      <name val="Carlito"/>
      <charset val="134"/>
    </font>
    <font>
      <b/>
      <sz val="18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center"/>
    </xf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0" fillId="0" borderId="1" xfId="0" applyBorder="1"/>
    <xf numFmtId="0" fontId="2" fillId="3" borderId="1" xfId="0" applyNumberFormat="1" applyFont="1" applyFill="1" applyBorder="1" applyAlignment="1">
      <alignment horizontal="center" wrapText="1"/>
    </xf>
    <xf numFmtId="178" fontId="0" fillId="0" borderId="1" xfId="0" applyNumberFormat="1" applyFont="1" applyFill="1" applyBorder="1"/>
    <xf numFmtId="2" fontId="0" fillId="0" borderId="1" xfId="0" applyNumberFormat="1" applyFont="1" applyFill="1" applyBorder="1"/>
    <xf numFmtId="9" fontId="0" fillId="0" borderId="1" xfId="0" applyNumberFormat="1" applyFont="1" applyFill="1" applyBorder="1"/>
    <xf numFmtId="179" fontId="2" fillId="3" borderId="1" xfId="0" applyNumberFormat="1" applyFont="1" applyFill="1" applyBorder="1" applyAlignment="1">
      <alignment horizontal="center" wrapText="1"/>
    </xf>
    <xf numFmtId="2" fontId="0" fillId="0" borderId="0" xfId="0" applyNumberFormat="1" applyFont="1" applyFill="1" applyBorder="1"/>
    <xf numFmtId="9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 wrapText="1"/>
    </xf>
    <xf numFmtId="178" fontId="0" fillId="0" borderId="0" xfId="0" applyNumberFormat="1" applyFont="1" applyFill="1" applyBorder="1"/>
    <xf numFmtId="180" fontId="0" fillId="0" borderId="0" xfId="0" applyNumberFormat="1" applyFont="1" applyFill="1" applyBorder="1"/>
    <xf numFmtId="0" fontId="4" fillId="2" borderId="0" xfId="0" applyNumberFormat="1" applyFont="1" applyFill="1" applyAlignment="1">
      <alignment horizontal="center" vertical="center"/>
    </xf>
    <xf numFmtId="0" fontId="5" fillId="4" borderId="0" xfId="0" applyNumberFormat="1" applyFont="1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2">
    <dxf>
      <fill>
        <patternFill patternType="solid">
          <bgColor rgb="FFFFD96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4DFEC"/>
        </patternFill>
      </fill>
    </dxf>
    <dxf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PlanningDiario" displayName="TablaPlanningDiario" ref="A4:AD234">
  <tableColumns count="30">
    <tableColumn id="1" name="OT"/>
    <tableColumn id="2" name="Fecha"/>
    <tableColumn id="3" name="Día"/>
    <tableColumn id="4" name="Semana"/>
    <tableColumn id="5" name="Cliente"/>
    <tableColumn id="6" name="Placa"/>
    <tableColumn id="7" name="Marca"/>
    <tableColumn id="8" name="Modelo"/>
    <tableColumn id="9" name="Tipo mantenimiento"/>
    <tableColumn id="10" name="Estado"/>
    <tableColumn id="11" name="Técnico"/>
    <tableColumn id="12" name="Asesor"/>
    <tableColumn id="13" name="Bahía"/>
    <tableColumn id="14" name="Recepción"/>
    <tableColumn id="15" name="Inicio técnico"/>
    <tableColumn id="16" name="Fin técnico"/>
    <tableColumn id="17" name="Control calidad"/>
    <tableColumn id="18" name="Lavado"/>
    <tableColumn id="19" name="Prueba ruta"/>
    <tableColumn id="20" name="Entrega"/>
    <tableColumn id="21" name="Tempario (h)"/>
    <tableColumn id="22" name="Horas requeridas"/>
    <tableColumn id="23" name="Horas normales"/>
    <tableColumn id="24" name="Horas extra"/>
    <tableColumn id="25" name="Capacidad técnico"/>
    <tableColumn id="26" name="Utilización"/>
    <tableColumn id="27" name="Carga"/>
    <tableColumn id="28" name="Cumple entrega"/>
    <tableColumn id="29" name="Observación"/>
    <tableColumn id="30" name="Conflic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Capacidad" displayName="TablaCapacidad" ref="A4:J15">
  <tableColumns count="10">
    <tableColumn id="1" name="Fecha"/>
    <tableColumn id="2" name="Capacidad normal"/>
    <tableColumn id="3" name="Reserva 15%"/>
    <tableColumn id="4" name="Capacidad programable"/>
    <tableColumn id="5" name="Carga asignada"/>
    <tableColumn id="6" name="Horas extra"/>
    <tableColumn id="7" name="Capacidad total"/>
    <tableColumn id="8" name="Disponible"/>
    <tableColumn id="9" name="Utilización"/>
    <tableColumn id="10" name="Diagnóst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H2"/>
    </sheetView>
  </sheetViews>
  <sheetFormatPr defaultColWidth="9" defaultRowHeight="13.8" outlineLevelCol="7"/>
  <cols>
    <col min="1" max="8" width="18" customWidth="1"/>
  </cols>
  <sheetData>
    <row r="1" ht="22.8" spans="1:8">
      <c r="A1" s="17" t="s">
        <v>0</v>
      </c>
      <c r="B1" s="17"/>
      <c r="C1" s="17"/>
      <c r="D1" s="17"/>
      <c r="E1" s="17"/>
      <c r="F1" s="17"/>
      <c r="G1" s="17"/>
      <c r="H1" s="17"/>
    </row>
    <row r="2" ht="22.8" spans="1:8">
      <c r="A2" s="17"/>
      <c r="B2" s="17"/>
      <c r="C2" s="17"/>
      <c r="D2" s="17"/>
      <c r="E2" s="17"/>
      <c r="F2" s="17"/>
      <c r="G2" s="17"/>
      <c r="H2" s="17"/>
    </row>
    <row r="4" spans="1:8">
      <c r="A4" s="18" t="s">
        <v>1</v>
      </c>
      <c r="B4" t="s">
        <v>2</v>
      </c>
    </row>
    <row r="5" spans="1:8">
      <c r="A5" s="18" t="s">
        <v>3</v>
      </c>
      <c r="B5" t="s">
        <v>4</v>
      </c>
    </row>
    <row r="6" spans="1:8">
      <c r="A6" s="18" t="s">
        <v>5</v>
      </c>
      <c r="B6">
        <v>230</v>
      </c>
    </row>
    <row r="7" spans="1:8">
      <c r="A7" s="18" t="s">
        <v>6</v>
      </c>
      <c r="B7">
        <v>6</v>
      </c>
    </row>
    <row r="8" spans="1:8">
      <c r="A8" s="18" t="s">
        <v>7</v>
      </c>
      <c r="B8">
        <v>2</v>
      </c>
    </row>
    <row r="9" spans="1:8">
      <c r="A9" s="18" t="s">
        <v>8</v>
      </c>
      <c r="B9">
        <v>6</v>
      </c>
    </row>
    <row r="10" spans="1:8">
      <c r="A10" s="18" t="s">
        <v>9</v>
      </c>
      <c r="B10" t="s">
        <v>10</v>
      </c>
    </row>
    <row r="11" spans="1:8">
      <c r="A11" s="18" t="s">
        <v>11</v>
      </c>
      <c r="B11" t="s">
        <v>12</v>
      </c>
    </row>
  </sheetData>
  <mergeCells count="1">
    <mergeCell ref="A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34"/>
  <sheetViews>
    <sheetView workbookViewId="0">
      <selection activeCell="C5" sqref="C5"/>
    </sheetView>
  </sheetViews>
  <sheetFormatPr defaultColWidth="9" defaultRowHeight="13.8"/>
  <cols>
    <col min="1" max="4" width="13" customWidth="1"/>
    <col min="5" max="5" width="22" customWidth="1"/>
    <col min="6" max="7" width="13" customWidth="1"/>
    <col min="8" max="9" width="22" customWidth="1"/>
    <col min="10" max="10" width="13" customWidth="1"/>
    <col min="11" max="12" width="22" customWidth="1"/>
    <col min="13" max="13" width="13" customWidth="1"/>
    <col min="14" max="20" width="16.2" customWidth="1"/>
    <col min="21" max="28" width="13" customWidth="1"/>
    <col min="29" max="29" width="22" customWidth="1"/>
    <col min="30" max="30" width="13" customWidth="1"/>
  </cols>
  <sheetData>
    <row r="1" ht="21" spans="1:30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21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4" ht="24" spans="1:30">
      <c r="A4" s="14" t="s">
        <v>14</v>
      </c>
      <c r="B4" s="14" t="s">
        <v>15</v>
      </c>
      <c r="C4" s="14" t="s">
        <v>16</v>
      </c>
      <c r="D4" s="14" t="s">
        <v>17</v>
      </c>
      <c r="E4" s="14" t="s">
        <v>18</v>
      </c>
      <c r="F4" s="14" t="s">
        <v>19</v>
      </c>
      <c r="G4" s="14" t="s">
        <v>20</v>
      </c>
      <c r="H4" s="14" t="s">
        <v>21</v>
      </c>
      <c r="I4" s="14" t="s">
        <v>22</v>
      </c>
      <c r="J4" s="14" t="s">
        <v>23</v>
      </c>
      <c r="K4" s="14" t="s">
        <v>24</v>
      </c>
      <c r="L4" s="14" t="s">
        <v>25</v>
      </c>
      <c r="M4" s="14" t="s">
        <v>26</v>
      </c>
      <c r="N4" s="14" t="s">
        <v>27</v>
      </c>
      <c r="O4" s="14" t="s">
        <v>28</v>
      </c>
      <c r="P4" s="14" t="s">
        <v>29</v>
      </c>
      <c r="Q4" s="14" t="s">
        <v>30</v>
      </c>
      <c r="R4" s="14" t="s">
        <v>31</v>
      </c>
      <c r="S4" s="14" t="s">
        <v>32</v>
      </c>
      <c r="T4" s="14" t="s">
        <v>33</v>
      </c>
      <c r="U4" s="14" t="s">
        <v>34</v>
      </c>
      <c r="V4" s="14" t="s">
        <v>35</v>
      </c>
      <c r="W4" s="14" t="s">
        <v>36</v>
      </c>
      <c r="X4" s="14" t="s">
        <v>37</v>
      </c>
      <c r="Y4" s="14" t="s">
        <v>38</v>
      </c>
      <c r="Z4" s="14" t="s">
        <v>39</v>
      </c>
      <c r="AA4" s="14" t="s">
        <v>40</v>
      </c>
      <c r="AB4" s="14" t="s">
        <v>41</v>
      </c>
      <c r="AC4" s="14" t="s">
        <v>42</v>
      </c>
      <c r="AD4" s="14" t="s">
        <v>43</v>
      </c>
    </row>
    <row r="5" spans="1:30">
      <c r="A5" t="s">
        <v>44</v>
      </c>
      <c r="B5" s="15">
        <v>46223</v>
      </c>
      <c r="C5" t="s">
        <v>45</v>
      </c>
      <c r="D5">
        <v>30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s="16">
        <v>46223.3166666667</v>
      </c>
      <c r="O5" s="16">
        <v>46223.3333333333</v>
      </c>
      <c r="P5" s="16">
        <v>46223.5883333333</v>
      </c>
      <c r="Q5" s="16">
        <v>46223.6091666667</v>
      </c>
      <c r="R5" s="16">
        <v>46223.6195833333</v>
      </c>
      <c r="S5" s="16">
        <v>46223.63625</v>
      </c>
      <c r="T5" s="16">
        <v>46223.66125</v>
      </c>
      <c r="U5" s="11">
        <v>4.2</v>
      </c>
      <c r="V5" s="11">
        <v>5.12</v>
      </c>
      <c r="W5" s="11">
        <v>5.12</v>
      </c>
      <c r="X5" s="11">
        <v>0</v>
      </c>
      <c r="Y5" s="11">
        <v>8</v>
      </c>
      <c r="Z5" s="12">
        <v>0.64</v>
      </c>
      <c r="AA5" t="s">
        <v>55</v>
      </c>
      <c r="AB5" t="s">
        <v>56</v>
      </c>
      <c r="AC5" t="s">
        <v>57</v>
      </c>
      <c r="AD5" t="str">
        <f t="shared" ref="AD5:AD68" si="0">IF(COUNTIFS($B$5:$B$234,B5,$K$5:$K$234,K5,$O$5:$O$234,"&lt;"&amp;P5,$P$5:$P$234,"&gt;"&amp;O5)&gt;1,"CONFLICTO","OK")</f>
        <v>CONFLICTO</v>
      </c>
    </row>
    <row r="6" spans="1:30">
      <c r="A6" t="s">
        <v>58</v>
      </c>
      <c r="B6" s="15">
        <v>46216</v>
      </c>
      <c r="C6" t="s">
        <v>45</v>
      </c>
      <c r="D6">
        <v>29</v>
      </c>
      <c r="E6" t="s">
        <v>59</v>
      </c>
      <c r="F6" t="s">
        <v>60</v>
      </c>
      <c r="G6" t="s">
        <v>48</v>
      </c>
      <c r="H6" t="s">
        <v>61</v>
      </c>
      <c r="I6" t="s">
        <v>62</v>
      </c>
      <c r="J6" t="s">
        <v>63</v>
      </c>
      <c r="K6" t="s">
        <v>52</v>
      </c>
      <c r="L6" t="s">
        <v>64</v>
      </c>
      <c r="M6" t="s">
        <v>65</v>
      </c>
      <c r="N6" s="16">
        <v>46216.4</v>
      </c>
      <c r="O6" s="16">
        <v>46216.4166666667</v>
      </c>
      <c r="P6" s="16">
        <v>46216.4495833333</v>
      </c>
      <c r="Q6" s="16">
        <v>46216.4704166667</v>
      </c>
      <c r="R6" s="16">
        <v>46216.4808333333</v>
      </c>
      <c r="S6" s="16">
        <v>46216.4975</v>
      </c>
      <c r="T6" s="16">
        <v>46216.5225</v>
      </c>
      <c r="U6" s="11">
        <v>0.65</v>
      </c>
      <c r="V6" s="11">
        <v>0.79</v>
      </c>
      <c r="W6" s="11">
        <v>0.79</v>
      </c>
      <c r="X6" s="11">
        <v>0</v>
      </c>
      <c r="Y6" s="11">
        <v>8</v>
      </c>
      <c r="Z6" s="12">
        <v>0.0988</v>
      </c>
      <c r="AA6" t="s">
        <v>66</v>
      </c>
      <c r="AB6" t="s">
        <v>56</v>
      </c>
      <c r="AC6" t="s">
        <v>57</v>
      </c>
      <c r="AD6" t="str">
        <f t="shared" si="0"/>
        <v>OK</v>
      </c>
    </row>
    <row r="7" spans="1:30">
      <c r="A7" t="s">
        <v>67</v>
      </c>
      <c r="B7" s="15">
        <v>46225</v>
      </c>
      <c r="C7" t="s">
        <v>68</v>
      </c>
      <c r="D7">
        <v>30</v>
      </c>
      <c r="E7" t="s">
        <v>69</v>
      </c>
      <c r="F7" t="s">
        <v>70</v>
      </c>
      <c r="G7" t="s">
        <v>48</v>
      </c>
      <c r="H7" t="s">
        <v>71</v>
      </c>
      <c r="I7" t="s">
        <v>72</v>
      </c>
      <c r="J7" t="s">
        <v>51</v>
      </c>
      <c r="K7" t="s">
        <v>52</v>
      </c>
      <c r="L7" t="s">
        <v>53</v>
      </c>
      <c r="M7" t="s">
        <v>73</v>
      </c>
      <c r="N7" s="16">
        <v>46225.5666666667</v>
      </c>
      <c r="O7" s="16">
        <v>46225.5833333333</v>
      </c>
      <c r="P7" s="16">
        <v>46225.61125</v>
      </c>
      <c r="Q7" s="16">
        <v>46225.6320833333</v>
      </c>
      <c r="R7" s="16">
        <v>46225.6425</v>
      </c>
      <c r="S7" s="16">
        <v>46225.6591666667</v>
      </c>
      <c r="T7" s="16">
        <v>46225.6841666667</v>
      </c>
      <c r="U7" s="11">
        <v>0.55</v>
      </c>
      <c r="V7" s="11">
        <v>0.67</v>
      </c>
      <c r="W7" s="11">
        <v>0.67</v>
      </c>
      <c r="X7" s="11">
        <v>0</v>
      </c>
      <c r="Y7" s="11">
        <v>8</v>
      </c>
      <c r="Z7" s="12">
        <v>0.0838</v>
      </c>
      <c r="AA7" t="s">
        <v>66</v>
      </c>
      <c r="AB7" t="s">
        <v>56</v>
      </c>
      <c r="AC7" t="s">
        <v>57</v>
      </c>
      <c r="AD7" t="str">
        <f t="shared" si="0"/>
        <v>CONFLICTO</v>
      </c>
    </row>
    <row r="8" spans="1:30">
      <c r="A8" t="s">
        <v>74</v>
      </c>
      <c r="B8" s="15">
        <v>46216</v>
      </c>
      <c r="C8" t="s">
        <v>45</v>
      </c>
      <c r="D8">
        <v>29</v>
      </c>
      <c r="E8" t="s">
        <v>75</v>
      </c>
      <c r="F8" t="s">
        <v>76</v>
      </c>
      <c r="G8" t="s">
        <v>48</v>
      </c>
      <c r="H8" t="s">
        <v>61</v>
      </c>
      <c r="I8" t="s">
        <v>77</v>
      </c>
      <c r="J8" t="s">
        <v>51</v>
      </c>
      <c r="K8" t="s">
        <v>78</v>
      </c>
      <c r="L8" t="s">
        <v>64</v>
      </c>
      <c r="M8" t="s">
        <v>79</v>
      </c>
      <c r="N8" s="16">
        <v>46216.6291666667</v>
      </c>
      <c r="O8" s="16">
        <v>46216.6458333333</v>
      </c>
      <c r="P8" s="16">
        <v>46216.6891666667</v>
      </c>
      <c r="Q8" s="16">
        <v>46216.71</v>
      </c>
      <c r="R8" s="16">
        <v>46216.7204166667</v>
      </c>
      <c r="S8" s="16">
        <v>46216.7370833333</v>
      </c>
      <c r="T8" s="16">
        <v>46216.7620833333</v>
      </c>
      <c r="U8" s="11">
        <v>0.85</v>
      </c>
      <c r="V8" s="11">
        <v>1.04</v>
      </c>
      <c r="W8" s="11">
        <v>1.04</v>
      </c>
      <c r="X8" s="11">
        <v>0</v>
      </c>
      <c r="Y8" s="11">
        <v>8</v>
      </c>
      <c r="Z8" s="12">
        <v>0.13</v>
      </c>
      <c r="AA8" t="s">
        <v>66</v>
      </c>
      <c r="AB8" t="s">
        <v>56</v>
      </c>
      <c r="AC8" t="s">
        <v>57</v>
      </c>
      <c r="AD8" t="str">
        <f t="shared" si="0"/>
        <v>CONFLICTO</v>
      </c>
    </row>
    <row r="9" spans="1:30">
      <c r="A9" t="s">
        <v>80</v>
      </c>
      <c r="B9" s="15">
        <v>46225</v>
      </c>
      <c r="C9" t="s">
        <v>68</v>
      </c>
      <c r="D9">
        <v>30</v>
      </c>
      <c r="E9" t="s">
        <v>81</v>
      </c>
      <c r="F9" t="s">
        <v>82</v>
      </c>
      <c r="G9" t="s">
        <v>48</v>
      </c>
      <c r="H9" t="s">
        <v>83</v>
      </c>
      <c r="I9" t="s">
        <v>84</v>
      </c>
      <c r="J9" t="s">
        <v>85</v>
      </c>
      <c r="K9" t="s">
        <v>78</v>
      </c>
      <c r="L9" t="s">
        <v>53</v>
      </c>
      <c r="M9" t="s">
        <v>86</v>
      </c>
      <c r="N9" s="16">
        <v>46225.3166666667</v>
      </c>
      <c r="O9" s="16">
        <v>46225.3333333333</v>
      </c>
      <c r="P9" s="16">
        <v>46225.60375</v>
      </c>
      <c r="Q9" s="16">
        <v>46225.6245833333</v>
      </c>
      <c r="R9" s="16">
        <v>46225.635</v>
      </c>
      <c r="S9" s="16">
        <v>46225.6516666667</v>
      </c>
      <c r="T9" s="16">
        <v>46225.6766666667</v>
      </c>
      <c r="U9" s="11">
        <v>4.5</v>
      </c>
      <c r="V9" s="11">
        <v>5.49</v>
      </c>
      <c r="W9" s="11">
        <v>5.49</v>
      </c>
      <c r="X9" s="11">
        <v>0</v>
      </c>
      <c r="Y9" s="11">
        <v>8</v>
      </c>
      <c r="Z9" s="12">
        <v>0.6863</v>
      </c>
      <c r="AA9" t="s">
        <v>55</v>
      </c>
      <c r="AB9" t="s">
        <v>56</v>
      </c>
      <c r="AC9" t="s">
        <v>57</v>
      </c>
      <c r="AD9" t="str">
        <f t="shared" si="0"/>
        <v>CONFLICTO</v>
      </c>
    </row>
    <row r="10" spans="1:30">
      <c r="A10" t="s">
        <v>87</v>
      </c>
      <c r="B10" s="15">
        <v>46224</v>
      </c>
      <c r="C10" t="s">
        <v>88</v>
      </c>
      <c r="D10">
        <v>30</v>
      </c>
      <c r="E10" t="s">
        <v>89</v>
      </c>
      <c r="F10" t="s">
        <v>90</v>
      </c>
      <c r="G10" t="s">
        <v>48</v>
      </c>
      <c r="H10" t="s">
        <v>83</v>
      </c>
      <c r="I10" t="s">
        <v>84</v>
      </c>
      <c r="J10" t="s">
        <v>51</v>
      </c>
      <c r="K10" t="s">
        <v>52</v>
      </c>
      <c r="L10" t="s">
        <v>64</v>
      </c>
      <c r="M10" t="s">
        <v>91</v>
      </c>
      <c r="N10" s="16">
        <v>46224.4</v>
      </c>
      <c r="O10" s="16">
        <v>46224.4166666667</v>
      </c>
      <c r="P10" s="16">
        <v>46224.6870833333</v>
      </c>
      <c r="Q10" s="16">
        <v>46224.7079166667</v>
      </c>
      <c r="R10" s="16">
        <v>46224.7183333333</v>
      </c>
      <c r="S10" s="16">
        <v>46224.735</v>
      </c>
      <c r="T10" s="16">
        <v>46224.76</v>
      </c>
      <c r="U10" s="11">
        <v>4.5</v>
      </c>
      <c r="V10" s="11">
        <v>5.49</v>
      </c>
      <c r="W10" s="11">
        <v>5.49</v>
      </c>
      <c r="X10" s="11">
        <v>0</v>
      </c>
      <c r="Y10" s="11">
        <v>8</v>
      </c>
      <c r="Z10" s="12">
        <v>0.6863</v>
      </c>
      <c r="AA10" t="s">
        <v>55</v>
      </c>
      <c r="AB10" t="s">
        <v>56</v>
      </c>
      <c r="AC10" t="s">
        <v>57</v>
      </c>
      <c r="AD10" t="str">
        <f t="shared" si="0"/>
        <v>CONFLICTO</v>
      </c>
    </row>
    <row r="11" spans="1:30">
      <c r="A11" t="s">
        <v>92</v>
      </c>
      <c r="B11" s="15">
        <v>46227</v>
      </c>
      <c r="C11" t="s">
        <v>93</v>
      </c>
      <c r="D11">
        <v>30</v>
      </c>
      <c r="E11" t="s">
        <v>94</v>
      </c>
      <c r="F11" t="s">
        <v>95</v>
      </c>
      <c r="G11" t="s">
        <v>48</v>
      </c>
      <c r="H11" t="s">
        <v>96</v>
      </c>
      <c r="I11" t="s">
        <v>72</v>
      </c>
      <c r="J11" t="s">
        <v>51</v>
      </c>
      <c r="K11" t="s">
        <v>52</v>
      </c>
      <c r="L11" t="s">
        <v>53</v>
      </c>
      <c r="M11" t="s">
        <v>54</v>
      </c>
      <c r="N11" s="16">
        <v>46227.5666666667</v>
      </c>
      <c r="O11" s="16">
        <v>46227.5833333333</v>
      </c>
      <c r="P11" s="16">
        <v>46227.61125</v>
      </c>
      <c r="Q11" s="16">
        <v>46227.6320833333</v>
      </c>
      <c r="R11" s="16">
        <v>46227.6425</v>
      </c>
      <c r="S11" s="16">
        <v>46227.6591666667</v>
      </c>
      <c r="T11" s="16">
        <v>46227.6841666667</v>
      </c>
      <c r="U11" s="11">
        <v>0.55</v>
      </c>
      <c r="V11" s="11">
        <v>0.67</v>
      </c>
      <c r="W11" s="11">
        <v>0.67</v>
      </c>
      <c r="X11" s="11">
        <v>0</v>
      </c>
      <c r="Y11" s="11">
        <v>8</v>
      </c>
      <c r="Z11" s="12">
        <v>0.0838</v>
      </c>
      <c r="AA11" t="s">
        <v>66</v>
      </c>
      <c r="AB11" t="s">
        <v>56</v>
      </c>
      <c r="AC11" t="s">
        <v>57</v>
      </c>
      <c r="AD11" t="str">
        <f t="shared" si="0"/>
        <v>CONFLICTO</v>
      </c>
    </row>
    <row r="12" spans="1:30">
      <c r="A12" t="s">
        <v>97</v>
      </c>
      <c r="B12" s="15">
        <v>46224</v>
      </c>
      <c r="C12" t="s">
        <v>88</v>
      </c>
      <c r="D12">
        <v>30</v>
      </c>
      <c r="E12" t="s">
        <v>98</v>
      </c>
      <c r="F12" t="s">
        <v>99</v>
      </c>
      <c r="G12" t="s">
        <v>48</v>
      </c>
      <c r="H12" t="s">
        <v>100</v>
      </c>
      <c r="I12" t="s">
        <v>101</v>
      </c>
      <c r="J12" t="s">
        <v>63</v>
      </c>
      <c r="K12" t="s">
        <v>78</v>
      </c>
      <c r="L12" t="s">
        <v>64</v>
      </c>
      <c r="M12" t="s">
        <v>65</v>
      </c>
      <c r="N12" s="16">
        <v>46224.6291666667</v>
      </c>
      <c r="O12" s="16">
        <v>46224.6458333333</v>
      </c>
      <c r="P12" s="16">
        <v>46224.68125</v>
      </c>
      <c r="Q12" s="16">
        <v>46224.7020833333</v>
      </c>
      <c r="R12" s="16">
        <v>46224.7125</v>
      </c>
      <c r="S12" s="16">
        <v>46224.7291666667</v>
      </c>
      <c r="T12" s="16">
        <v>46224.7541666667</v>
      </c>
      <c r="U12" s="11">
        <v>0.7</v>
      </c>
      <c r="V12" s="11">
        <v>0.85</v>
      </c>
      <c r="W12" s="11">
        <v>0.85</v>
      </c>
      <c r="X12" s="11">
        <v>0</v>
      </c>
      <c r="Y12" s="11">
        <v>8</v>
      </c>
      <c r="Z12" s="12">
        <v>0.1062</v>
      </c>
      <c r="AA12" t="s">
        <v>66</v>
      </c>
      <c r="AB12" t="s">
        <v>56</v>
      </c>
      <c r="AC12" t="s">
        <v>57</v>
      </c>
      <c r="AD12" t="str">
        <f t="shared" si="0"/>
        <v>CONFLICTO</v>
      </c>
    </row>
    <row r="13" spans="1:30">
      <c r="A13" t="s">
        <v>102</v>
      </c>
      <c r="B13" s="15">
        <v>46216</v>
      </c>
      <c r="C13" t="s">
        <v>45</v>
      </c>
      <c r="D13">
        <v>29</v>
      </c>
      <c r="E13" t="s">
        <v>103</v>
      </c>
      <c r="F13" t="s">
        <v>104</v>
      </c>
      <c r="G13" t="s">
        <v>48</v>
      </c>
      <c r="H13" t="s">
        <v>71</v>
      </c>
      <c r="I13" t="s">
        <v>84</v>
      </c>
      <c r="J13" t="s">
        <v>85</v>
      </c>
      <c r="K13" t="s">
        <v>105</v>
      </c>
      <c r="L13" t="s">
        <v>53</v>
      </c>
      <c r="M13" t="s">
        <v>73</v>
      </c>
      <c r="N13" s="16">
        <v>46216.3166666667</v>
      </c>
      <c r="O13" s="16">
        <v>46216.3333333333</v>
      </c>
      <c r="P13" s="16">
        <v>46216.60375</v>
      </c>
      <c r="Q13" s="16">
        <v>46216.6245833333</v>
      </c>
      <c r="R13" s="16">
        <v>46216.635</v>
      </c>
      <c r="S13" s="16">
        <v>46216.6516666667</v>
      </c>
      <c r="T13" s="16">
        <v>46216.6766666667</v>
      </c>
      <c r="U13" s="11">
        <v>4.5</v>
      </c>
      <c r="V13" s="11">
        <v>5.49</v>
      </c>
      <c r="W13" s="11">
        <v>5.49</v>
      </c>
      <c r="X13" s="11">
        <v>0</v>
      </c>
      <c r="Y13" s="11">
        <v>8</v>
      </c>
      <c r="Z13" s="12">
        <v>0.6863</v>
      </c>
      <c r="AA13" t="s">
        <v>55</v>
      </c>
      <c r="AB13" t="s">
        <v>56</v>
      </c>
      <c r="AC13" t="s">
        <v>57</v>
      </c>
      <c r="AD13" t="str">
        <f t="shared" si="0"/>
        <v>CONFLICTO</v>
      </c>
    </row>
    <row r="14" spans="1:30">
      <c r="A14" t="s">
        <v>106</v>
      </c>
      <c r="B14" s="15">
        <v>46219</v>
      </c>
      <c r="C14" t="s">
        <v>107</v>
      </c>
      <c r="D14">
        <v>29</v>
      </c>
      <c r="E14" t="s">
        <v>108</v>
      </c>
      <c r="F14" t="s">
        <v>109</v>
      </c>
      <c r="G14" t="s">
        <v>48</v>
      </c>
      <c r="H14" t="s">
        <v>96</v>
      </c>
      <c r="I14" t="s">
        <v>84</v>
      </c>
      <c r="J14" t="s">
        <v>85</v>
      </c>
      <c r="K14" t="s">
        <v>52</v>
      </c>
      <c r="L14" t="s">
        <v>64</v>
      </c>
      <c r="M14" t="s">
        <v>79</v>
      </c>
      <c r="N14" s="16">
        <v>46219.4</v>
      </c>
      <c r="O14" s="16">
        <v>46219.4166666667</v>
      </c>
      <c r="P14" s="16">
        <v>46219.6870833333</v>
      </c>
      <c r="Q14" s="16">
        <v>46219.7079166667</v>
      </c>
      <c r="R14" s="16">
        <v>46219.7183333333</v>
      </c>
      <c r="S14" s="16">
        <v>46219.735</v>
      </c>
      <c r="T14" s="16">
        <v>46219.76</v>
      </c>
      <c r="U14" s="11">
        <v>4.5</v>
      </c>
      <c r="V14" s="11">
        <v>5.49</v>
      </c>
      <c r="W14" s="11">
        <v>5.49</v>
      </c>
      <c r="X14" s="11">
        <v>0</v>
      </c>
      <c r="Y14" s="11">
        <v>8</v>
      </c>
      <c r="Z14" s="12">
        <v>0.6863</v>
      </c>
      <c r="AA14" t="s">
        <v>55</v>
      </c>
      <c r="AB14" t="s">
        <v>56</v>
      </c>
      <c r="AC14" t="s">
        <v>57</v>
      </c>
      <c r="AD14" t="str">
        <f t="shared" si="0"/>
        <v>CONFLICTO</v>
      </c>
    </row>
    <row r="15" spans="1:30">
      <c r="A15" t="s">
        <v>110</v>
      </c>
      <c r="B15" s="15">
        <v>46223</v>
      </c>
      <c r="C15" t="s">
        <v>45</v>
      </c>
      <c r="D15">
        <v>30</v>
      </c>
      <c r="E15" t="s">
        <v>111</v>
      </c>
      <c r="F15" t="s">
        <v>112</v>
      </c>
      <c r="G15" t="s">
        <v>48</v>
      </c>
      <c r="H15" t="s">
        <v>83</v>
      </c>
      <c r="I15" t="s">
        <v>84</v>
      </c>
      <c r="J15" t="s">
        <v>85</v>
      </c>
      <c r="K15" t="s">
        <v>78</v>
      </c>
      <c r="L15" t="s">
        <v>53</v>
      </c>
      <c r="M15" t="s">
        <v>86</v>
      </c>
      <c r="N15" s="16">
        <v>46223.5666666667</v>
      </c>
      <c r="O15" s="16">
        <v>46223.5833333333</v>
      </c>
      <c r="P15" s="16">
        <v>46223.8120833333</v>
      </c>
      <c r="Q15" s="16">
        <v>46223.8329166667</v>
      </c>
      <c r="R15" s="16">
        <v>46223.8433333333</v>
      </c>
      <c r="S15" s="16">
        <v>46223.86</v>
      </c>
      <c r="T15" s="16">
        <v>46223.885</v>
      </c>
      <c r="U15" s="11">
        <v>4.5</v>
      </c>
      <c r="V15" s="11">
        <v>5.49</v>
      </c>
      <c r="W15" s="11">
        <v>3.5</v>
      </c>
      <c r="X15" s="11">
        <v>1.99</v>
      </c>
      <c r="Y15" s="11">
        <v>8</v>
      </c>
      <c r="Z15" s="12">
        <v>0.6863</v>
      </c>
      <c r="AA15" t="s">
        <v>55</v>
      </c>
      <c r="AB15" t="s">
        <v>56</v>
      </c>
      <c r="AC15" t="s">
        <v>57</v>
      </c>
      <c r="AD15" t="str">
        <f t="shared" si="0"/>
        <v>CONFLICTO</v>
      </c>
    </row>
    <row r="16" spans="1:30">
      <c r="A16" t="s">
        <v>113</v>
      </c>
      <c r="B16" s="15">
        <v>46225</v>
      </c>
      <c r="C16" t="s">
        <v>68</v>
      </c>
      <c r="D16">
        <v>30</v>
      </c>
      <c r="E16" t="s">
        <v>114</v>
      </c>
      <c r="F16" t="s">
        <v>115</v>
      </c>
      <c r="G16" t="s">
        <v>48</v>
      </c>
      <c r="H16" t="s">
        <v>116</v>
      </c>
      <c r="I16" t="s">
        <v>77</v>
      </c>
      <c r="J16" t="s">
        <v>117</v>
      </c>
      <c r="K16" t="s">
        <v>105</v>
      </c>
      <c r="L16" t="s">
        <v>64</v>
      </c>
      <c r="M16" t="s">
        <v>91</v>
      </c>
      <c r="N16" s="16">
        <v>46225.6291666667</v>
      </c>
      <c r="O16" s="16">
        <v>46225.6458333333</v>
      </c>
      <c r="P16" s="16">
        <v>46225.6891666667</v>
      </c>
      <c r="Q16" s="16">
        <v>46225.71</v>
      </c>
      <c r="R16" s="16">
        <v>46225.7204166667</v>
      </c>
      <c r="S16" s="16">
        <v>46225.7370833333</v>
      </c>
      <c r="T16" s="16">
        <v>46225.7620833333</v>
      </c>
      <c r="U16" s="11">
        <v>0.85</v>
      </c>
      <c r="V16" s="11">
        <v>1.04</v>
      </c>
      <c r="W16" s="11">
        <v>1.04</v>
      </c>
      <c r="X16" s="11">
        <v>0</v>
      </c>
      <c r="Y16" s="11">
        <v>8</v>
      </c>
      <c r="Z16" s="12">
        <v>0.13</v>
      </c>
      <c r="AA16" t="s">
        <v>66</v>
      </c>
      <c r="AB16" t="s">
        <v>56</v>
      </c>
      <c r="AC16" t="s">
        <v>57</v>
      </c>
      <c r="AD16" t="str">
        <f t="shared" si="0"/>
        <v>CONFLICTO</v>
      </c>
    </row>
    <row r="17" spans="1:30">
      <c r="A17" t="s">
        <v>118</v>
      </c>
      <c r="B17" s="15">
        <v>46224</v>
      </c>
      <c r="C17" t="s">
        <v>88</v>
      </c>
      <c r="D17">
        <v>30</v>
      </c>
      <c r="E17" t="s">
        <v>119</v>
      </c>
      <c r="F17" t="s">
        <v>120</v>
      </c>
      <c r="G17" t="s">
        <v>48</v>
      </c>
      <c r="H17" t="s">
        <v>121</v>
      </c>
      <c r="I17" t="s">
        <v>122</v>
      </c>
      <c r="J17" t="s">
        <v>51</v>
      </c>
      <c r="K17" t="s">
        <v>105</v>
      </c>
      <c r="L17" t="s">
        <v>53</v>
      </c>
      <c r="M17" t="s">
        <v>54</v>
      </c>
      <c r="N17" s="16">
        <v>46224.3166666667</v>
      </c>
      <c r="O17" s="16">
        <v>46224.3333333333</v>
      </c>
      <c r="P17" s="16">
        <v>46224.5316666667</v>
      </c>
      <c r="Q17" s="16">
        <v>46224.5525</v>
      </c>
      <c r="R17" s="16">
        <v>46224.5629166667</v>
      </c>
      <c r="S17" s="16">
        <v>46224.5795833333</v>
      </c>
      <c r="T17" s="16">
        <v>46224.6045833333</v>
      </c>
      <c r="U17" s="11">
        <v>3.9</v>
      </c>
      <c r="V17" s="11">
        <v>4.76</v>
      </c>
      <c r="W17" s="11">
        <v>4.76</v>
      </c>
      <c r="X17" s="11">
        <v>0</v>
      </c>
      <c r="Y17" s="11">
        <v>8</v>
      </c>
      <c r="Z17" s="12">
        <v>0.595</v>
      </c>
      <c r="AA17" t="s">
        <v>66</v>
      </c>
      <c r="AB17" t="s">
        <v>56</v>
      </c>
      <c r="AC17" t="s">
        <v>57</v>
      </c>
      <c r="AD17" t="str">
        <f t="shared" si="0"/>
        <v>CONFLICTO</v>
      </c>
    </row>
    <row r="18" spans="1:30">
      <c r="A18" t="s">
        <v>123</v>
      </c>
      <c r="B18" s="15">
        <v>46218</v>
      </c>
      <c r="C18" t="s">
        <v>68</v>
      </c>
      <c r="D18">
        <v>29</v>
      </c>
      <c r="E18" t="s">
        <v>124</v>
      </c>
      <c r="F18" t="s">
        <v>125</v>
      </c>
      <c r="G18" t="s">
        <v>48</v>
      </c>
      <c r="H18" t="s">
        <v>83</v>
      </c>
      <c r="I18" t="s">
        <v>72</v>
      </c>
      <c r="J18" t="s">
        <v>63</v>
      </c>
      <c r="K18" t="s">
        <v>52</v>
      </c>
      <c r="L18" t="s">
        <v>64</v>
      </c>
      <c r="M18" t="s">
        <v>65</v>
      </c>
      <c r="N18" s="16">
        <v>46218.4</v>
      </c>
      <c r="O18" s="16">
        <v>46218.4166666667</v>
      </c>
      <c r="P18" s="16">
        <v>46218.4445833333</v>
      </c>
      <c r="Q18" s="16">
        <v>46218.4654166667</v>
      </c>
      <c r="R18" s="16">
        <v>46218.4758333333</v>
      </c>
      <c r="S18" s="16">
        <v>46218.4925</v>
      </c>
      <c r="T18" s="16">
        <v>46218.5175</v>
      </c>
      <c r="U18" s="11">
        <v>0.55</v>
      </c>
      <c r="V18" s="11">
        <v>0.67</v>
      </c>
      <c r="W18" s="11">
        <v>0.67</v>
      </c>
      <c r="X18" s="11">
        <v>0</v>
      </c>
      <c r="Y18" s="11">
        <v>8</v>
      </c>
      <c r="Z18" s="12">
        <v>0.0838</v>
      </c>
      <c r="AA18" t="s">
        <v>66</v>
      </c>
      <c r="AB18" t="s">
        <v>56</v>
      </c>
      <c r="AC18" t="s">
        <v>57</v>
      </c>
      <c r="AD18" t="str">
        <f t="shared" si="0"/>
        <v>OK</v>
      </c>
    </row>
    <row r="19" spans="1:30">
      <c r="A19" t="s">
        <v>126</v>
      </c>
      <c r="B19" s="15">
        <v>46230</v>
      </c>
      <c r="C19" t="s">
        <v>45</v>
      </c>
      <c r="D19">
        <v>31</v>
      </c>
      <c r="E19" t="s">
        <v>127</v>
      </c>
      <c r="F19" t="s">
        <v>128</v>
      </c>
      <c r="G19" t="s">
        <v>48</v>
      </c>
      <c r="H19" t="s">
        <v>61</v>
      </c>
      <c r="I19" t="s">
        <v>50</v>
      </c>
      <c r="J19" t="s">
        <v>85</v>
      </c>
      <c r="K19" t="s">
        <v>52</v>
      </c>
      <c r="L19" t="s">
        <v>53</v>
      </c>
      <c r="M19" t="s">
        <v>73</v>
      </c>
      <c r="N19" s="16">
        <v>46230.5666666667</v>
      </c>
      <c r="O19" s="16">
        <v>46230.5833333333</v>
      </c>
      <c r="P19" s="16">
        <v>46230.7966666667</v>
      </c>
      <c r="Q19" s="16">
        <v>46230.8175</v>
      </c>
      <c r="R19" s="16">
        <v>46230.8279166667</v>
      </c>
      <c r="S19" s="16">
        <v>46230.8445833333</v>
      </c>
      <c r="T19" s="16">
        <v>46230.8695833333</v>
      </c>
      <c r="U19" s="11">
        <v>4.2</v>
      </c>
      <c r="V19" s="11">
        <v>5.12</v>
      </c>
      <c r="W19" s="11">
        <v>3.5</v>
      </c>
      <c r="X19" s="11">
        <v>1.62</v>
      </c>
      <c r="Y19" s="11">
        <v>8</v>
      </c>
      <c r="Z19" s="12">
        <v>0.64</v>
      </c>
      <c r="AA19" t="s">
        <v>55</v>
      </c>
      <c r="AB19" t="s">
        <v>56</v>
      </c>
      <c r="AC19" t="s">
        <v>57</v>
      </c>
      <c r="AD19" t="str">
        <f t="shared" si="0"/>
        <v>CONFLICTO</v>
      </c>
    </row>
    <row r="20" spans="1:30">
      <c r="A20" t="s">
        <v>129</v>
      </c>
      <c r="B20" s="15">
        <v>46226</v>
      </c>
      <c r="C20" t="s">
        <v>107</v>
      </c>
      <c r="D20">
        <v>30</v>
      </c>
      <c r="E20" t="s">
        <v>130</v>
      </c>
      <c r="F20" t="s">
        <v>131</v>
      </c>
      <c r="G20" t="s">
        <v>48</v>
      </c>
      <c r="H20" t="s">
        <v>116</v>
      </c>
      <c r="I20" t="s">
        <v>84</v>
      </c>
      <c r="J20" t="s">
        <v>51</v>
      </c>
      <c r="K20" t="s">
        <v>52</v>
      </c>
      <c r="L20" t="s">
        <v>64</v>
      </c>
      <c r="M20" t="s">
        <v>79</v>
      </c>
      <c r="N20" s="16">
        <v>46226.6291666667</v>
      </c>
      <c r="O20" s="16">
        <v>46226.6458333333</v>
      </c>
      <c r="P20" s="16">
        <v>46226.8745833333</v>
      </c>
      <c r="Q20" s="16">
        <v>46226.8954166667</v>
      </c>
      <c r="R20" s="16">
        <v>46226.9058333333</v>
      </c>
      <c r="S20" s="16">
        <v>46226.9225</v>
      </c>
      <c r="T20" s="16">
        <v>46226.9475</v>
      </c>
      <c r="U20" s="11">
        <v>4.5</v>
      </c>
      <c r="V20" s="11">
        <v>5.49</v>
      </c>
      <c r="W20" s="11">
        <v>2.49</v>
      </c>
      <c r="X20" s="11">
        <v>3</v>
      </c>
      <c r="Y20" s="11">
        <v>8</v>
      </c>
      <c r="Z20" s="12">
        <v>0.6863</v>
      </c>
      <c r="AA20" t="s">
        <v>55</v>
      </c>
      <c r="AB20" t="s">
        <v>56</v>
      </c>
      <c r="AC20" t="s">
        <v>57</v>
      </c>
      <c r="AD20" t="str">
        <f t="shared" si="0"/>
        <v>CONFLICTO</v>
      </c>
    </row>
    <row r="21" spans="1:30">
      <c r="A21" t="s">
        <v>132</v>
      </c>
      <c r="B21" s="15">
        <v>46218</v>
      </c>
      <c r="C21" t="s">
        <v>68</v>
      </c>
      <c r="D21">
        <v>29</v>
      </c>
      <c r="E21" t="s">
        <v>133</v>
      </c>
      <c r="F21" t="s">
        <v>134</v>
      </c>
      <c r="G21" t="s">
        <v>48</v>
      </c>
      <c r="H21" t="s">
        <v>83</v>
      </c>
      <c r="I21" t="s">
        <v>62</v>
      </c>
      <c r="J21" t="s">
        <v>63</v>
      </c>
      <c r="K21" t="s">
        <v>78</v>
      </c>
      <c r="L21" t="s">
        <v>53</v>
      </c>
      <c r="M21" t="s">
        <v>86</v>
      </c>
      <c r="N21" s="16">
        <v>46218.3166666667</v>
      </c>
      <c r="O21" s="16">
        <v>46218.3333333333</v>
      </c>
      <c r="P21" s="16">
        <v>46218.36625</v>
      </c>
      <c r="Q21" s="16">
        <v>46218.3870833333</v>
      </c>
      <c r="R21" s="16">
        <v>46218.3975</v>
      </c>
      <c r="S21" s="16">
        <v>46218.4141666667</v>
      </c>
      <c r="T21" s="16">
        <v>46218.4391666667</v>
      </c>
      <c r="U21" s="11">
        <v>0.65</v>
      </c>
      <c r="V21" s="11">
        <v>0.79</v>
      </c>
      <c r="W21" s="11">
        <v>0.79</v>
      </c>
      <c r="X21" s="11">
        <v>0</v>
      </c>
      <c r="Y21" s="11">
        <v>8</v>
      </c>
      <c r="Z21" s="12">
        <v>0.0988</v>
      </c>
      <c r="AA21" t="s">
        <v>66</v>
      </c>
      <c r="AB21" t="s">
        <v>56</v>
      </c>
      <c r="AC21" t="s">
        <v>57</v>
      </c>
      <c r="AD21" t="str">
        <f t="shared" si="0"/>
        <v>OK</v>
      </c>
    </row>
    <row r="22" spans="1:30">
      <c r="A22" t="s">
        <v>135</v>
      </c>
      <c r="B22" s="15">
        <v>46230</v>
      </c>
      <c r="C22" t="s">
        <v>45</v>
      </c>
      <c r="D22">
        <v>31</v>
      </c>
      <c r="E22" t="s">
        <v>136</v>
      </c>
      <c r="F22" t="s">
        <v>137</v>
      </c>
      <c r="G22" t="s">
        <v>48</v>
      </c>
      <c r="H22" t="s">
        <v>100</v>
      </c>
      <c r="I22" t="s">
        <v>84</v>
      </c>
      <c r="J22" t="s">
        <v>51</v>
      </c>
      <c r="K22" t="s">
        <v>78</v>
      </c>
      <c r="L22" t="s">
        <v>64</v>
      </c>
      <c r="M22" t="s">
        <v>91</v>
      </c>
      <c r="N22" s="16">
        <v>46230.4</v>
      </c>
      <c r="O22" s="16">
        <v>46230.4166666667</v>
      </c>
      <c r="P22" s="16">
        <v>46230.6870833333</v>
      </c>
      <c r="Q22" s="16">
        <v>46230.7079166667</v>
      </c>
      <c r="R22" s="16">
        <v>46230.7183333333</v>
      </c>
      <c r="S22" s="16">
        <v>46230.735</v>
      </c>
      <c r="T22" s="16">
        <v>46230.76</v>
      </c>
      <c r="U22" s="11">
        <v>4.5</v>
      </c>
      <c r="V22" s="11">
        <v>5.49</v>
      </c>
      <c r="W22" s="11">
        <v>5.49</v>
      </c>
      <c r="X22" s="11">
        <v>0</v>
      </c>
      <c r="Y22" s="11">
        <v>8</v>
      </c>
      <c r="Z22" s="12">
        <v>0.6863</v>
      </c>
      <c r="AA22" t="s">
        <v>55</v>
      </c>
      <c r="AB22" t="s">
        <v>56</v>
      </c>
      <c r="AC22" t="s">
        <v>57</v>
      </c>
      <c r="AD22" t="str">
        <f t="shared" si="0"/>
        <v>CONFLICTO</v>
      </c>
    </row>
    <row r="23" spans="1:30">
      <c r="A23" t="s">
        <v>138</v>
      </c>
      <c r="B23" s="15">
        <v>46225</v>
      </c>
      <c r="C23" t="s">
        <v>68</v>
      </c>
      <c r="D23">
        <v>30</v>
      </c>
      <c r="E23" t="s">
        <v>139</v>
      </c>
      <c r="F23" t="s">
        <v>140</v>
      </c>
      <c r="G23" t="s">
        <v>48</v>
      </c>
      <c r="H23" t="s">
        <v>116</v>
      </c>
      <c r="I23" t="s">
        <v>62</v>
      </c>
      <c r="J23" t="s">
        <v>63</v>
      </c>
      <c r="K23" t="s">
        <v>141</v>
      </c>
      <c r="L23" t="s">
        <v>53</v>
      </c>
      <c r="M23" t="s">
        <v>54</v>
      </c>
      <c r="N23" s="16">
        <v>46225.5666666667</v>
      </c>
      <c r="O23" s="16">
        <v>46225.5833333333</v>
      </c>
      <c r="P23" s="16">
        <v>46225.61625</v>
      </c>
      <c r="Q23" s="16">
        <v>46225.6370833333</v>
      </c>
      <c r="R23" s="16">
        <v>46225.6475</v>
      </c>
      <c r="S23" s="16">
        <v>46225.6641666667</v>
      </c>
      <c r="T23" s="16">
        <v>46225.6891666667</v>
      </c>
      <c r="U23" s="11">
        <v>0.65</v>
      </c>
      <c r="V23" s="11">
        <v>0.79</v>
      </c>
      <c r="W23" s="11">
        <v>0.79</v>
      </c>
      <c r="X23" s="11">
        <v>0</v>
      </c>
      <c r="Y23" s="11">
        <v>8</v>
      </c>
      <c r="Z23" s="12">
        <v>0.0988</v>
      </c>
      <c r="AA23" t="s">
        <v>66</v>
      </c>
      <c r="AB23" t="s">
        <v>56</v>
      </c>
      <c r="AC23" t="s">
        <v>57</v>
      </c>
      <c r="AD23" t="str">
        <f t="shared" si="0"/>
        <v>OK</v>
      </c>
    </row>
    <row r="24" spans="1:30">
      <c r="A24" t="s">
        <v>142</v>
      </c>
      <c r="B24" s="15">
        <v>46227</v>
      </c>
      <c r="C24" t="s">
        <v>93</v>
      </c>
      <c r="D24">
        <v>30</v>
      </c>
      <c r="E24" t="s">
        <v>143</v>
      </c>
      <c r="F24" t="s">
        <v>144</v>
      </c>
      <c r="G24" t="s">
        <v>48</v>
      </c>
      <c r="H24" t="s">
        <v>83</v>
      </c>
      <c r="I24" t="s">
        <v>101</v>
      </c>
      <c r="J24" t="s">
        <v>85</v>
      </c>
      <c r="K24" t="s">
        <v>78</v>
      </c>
      <c r="L24" t="s">
        <v>64</v>
      </c>
      <c r="M24" t="s">
        <v>65</v>
      </c>
      <c r="N24" s="16">
        <v>46227.6291666667</v>
      </c>
      <c r="O24" s="16">
        <v>46227.6458333333</v>
      </c>
      <c r="P24" s="16">
        <v>46227.68125</v>
      </c>
      <c r="Q24" s="16">
        <v>46227.7020833333</v>
      </c>
      <c r="R24" s="16">
        <v>46227.7125</v>
      </c>
      <c r="S24" s="16">
        <v>46227.7291666667</v>
      </c>
      <c r="T24" s="16">
        <v>46227.7541666667</v>
      </c>
      <c r="U24" s="11">
        <v>0.7</v>
      </c>
      <c r="V24" s="11">
        <v>0.85</v>
      </c>
      <c r="W24" s="11">
        <v>0.85</v>
      </c>
      <c r="X24" s="11">
        <v>0</v>
      </c>
      <c r="Y24" s="11">
        <v>8</v>
      </c>
      <c r="Z24" s="12">
        <v>0.1062</v>
      </c>
      <c r="AA24" t="s">
        <v>66</v>
      </c>
      <c r="AB24" t="s">
        <v>56</v>
      </c>
      <c r="AC24" t="s">
        <v>57</v>
      </c>
      <c r="AD24" t="str">
        <f t="shared" si="0"/>
        <v>CONFLICTO</v>
      </c>
    </row>
    <row r="25" spans="1:30">
      <c r="A25" t="s">
        <v>145</v>
      </c>
      <c r="B25" s="15">
        <v>46218</v>
      </c>
      <c r="C25" t="s">
        <v>68</v>
      </c>
      <c r="D25">
        <v>29</v>
      </c>
      <c r="E25" t="s">
        <v>146</v>
      </c>
      <c r="F25" t="s">
        <v>147</v>
      </c>
      <c r="G25" t="s">
        <v>48</v>
      </c>
      <c r="H25" t="s">
        <v>83</v>
      </c>
      <c r="I25" t="s">
        <v>62</v>
      </c>
      <c r="J25" t="s">
        <v>117</v>
      </c>
      <c r="K25" t="s">
        <v>105</v>
      </c>
      <c r="L25" t="s">
        <v>53</v>
      </c>
      <c r="M25" t="s">
        <v>73</v>
      </c>
      <c r="N25" s="16">
        <v>46218.3166666667</v>
      </c>
      <c r="O25" s="16">
        <v>46218.3333333333</v>
      </c>
      <c r="P25" s="16">
        <v>46218.36625</v>
      </c>
      <c r="Q25" s="16">
        <v>46218.3870833333</v>
      </c>
      <c r="R25" s="16">
        <v>46218.3975</v>
      </c>
      <c r="S25" s="16">
        <v>46218.4141666667</v>
      </c>
      <c r="T25" s="16">
        <v>46218.4391666667</v>
      </c>
      <c r="U25" s="11">
        <v>0.65</v>
      </c>
      <c r="V25" s="11">
        <v>0.79</v>
      </c>
      <c r="W25" s="11">
        <v>0.79</v>
      </c>
      <c r="X25" s="11">
        <v>0</v>
      </c>
      <c r="Y25" s="11">
        <v>8</v>
      </c>
      <c r="Z25" s="12">
        <v>0.0988</v>
      </c>
      <c r="AA25" t="s">
        <v>66</v>
      </c>
      <c r="AB25" t="s">
        <v>56</v>
      </c>
      <c r="AC25" t="s">
        <v>57</v>
      </c>
      <c r="AD25" t="str">
        <f t="shared" si="0"/>
        <v>OK</v>
      </c>
    </row>
    <row r="26" spans="1:30">
      <c r="A26" t="s">
        <v>148</v>
      </c>
      <c r="B26" s="15">
        <v>46224</v>
      </c>
      <c r="C26" t="s">
        <v>88</v>
      </c>
      <c r="D26">
        <v>30</v>
      </c>
      <c r="E26" t="s">
        <v>149</v>
      </c>
      <c r="F26" t="s">
        <v>150</v>
      </c>
      <c r="G26" t="s">
        <v>48</v>
      </c>
      <c r="H26" t="s">
        <v>116</v>
      </c>
      <c r="I26" t="s">
        <v>50</v>
      </c>
      <c r="J26" t="s">
        <v>51</v>
      </c>
      <c r="K26" t="s">
        <v>141</v>
      </c>
      <c r="L26" t="s">
        <v>64</v>
      </c>
      <c r="M26" t="s">
        <v>79</v>
      </c>
      <c r="N26" s="16">
        <v>46224.4</v>
      </c>
      <c r="O26" s="16">
        <v>46224.4166666667</v>
      </c>
      <c r="P26" s="16">
        <v>46224.6716666667</v>
      </c>
      <c r="Q26" s="16">
        <v>46224.6925</v>
      </c>
      <c r="R26" s="16">
        <v>46224.7029166667</v>
      </c>
      <c r="S26" s="16">
        <v>46224.7195833333</v>
      </c>
      <c r="T26" s="16">
        <v>46224.7445833333</v>
      </c>
      <c r="U26" s="11">
        <v>4.2</v>
      </c>
      <c r="V26" s="11">
        <v>5.12</v>
      </c>
      <c r="W26" s="11">
        <v>5.12</v>
      </c>
      <c r="X26" s="11">
        <v>0</v>
      </c>
      <c r="Y26" s="11">
        <v>8</v>
      </c>
      <c r="Z26" s="12">
        <v>0.64</v>
      </c>
      <c r="AA26" t="s">
        <v>55</v>
      </c>
      <c r="AB26" t="s">
        <v>56</v>
      </c>
      <c r="AC26" t="s">
        <v>57</v>
      </c>
      <c r="AD26" t="str">
        <f t="shared" si="0"/>
        <v>CONFLICTO</v>
      </c>
    </row>
    <row r="27" spans="1:30">
      <c r="A27" t="s">
        <v>151</v>
      </c>
      <c r="B27" s="15">
        <v>46220</v>
      </c>
      <c r="C27" t="s">
        <v>93</v>
      </c>
      <c r="D27">
        <v>29</v>
      </c>
      <c r="E27" t="s">
        <v>152</v>
      </c>
      <c r="F27" t="s">
        <v>153</v>
      </c>
      <c r="G27" t="s">
        <v>48</v>
      </c>
      <c r="H27" t="s">
        <v>154</v>
      </c>
      <c r="I27" t="s">
        <v>101</v>
      </c>
      <c r="J27" t="s">
        <v>63</v>
      </c>
      <c r="K27" t="s">
        <v>52</v>
      </c>
      <c r="L27" t="s">
        <v>53</v>
      </c>
      <c r="M27" t="s">
        <v>86</v>
      </c>
      <c r="N27" s="16">
        <v>46220.5666666667</v>
      </c>
      <c r="O27" s="16">
        <v>46220.5833333333</v>
      </c>
      <c r="P27" s="16">
        <v>46220.61875</v>
      </c>
      <c r="Q27" s="16">
        <v>46220.6395833333</v>
      </c>
      <c r="R27" s="16">
        <v>46220.65</v>
      </c>
      <c r="S27" s="16">
        <v>46220.6666666667</v>
      </c>
      <c r="T27" s="16">
        <v>46220.6916666667</v>
      </c>
      <c r="U27" s="11">
        <v>0.7</v>
      </c>
      <c r="V27" s="11">
        <v>0.85</v>
      </c>
      <c r="W27" s="11">
        <v>0.85</v>
      </c>
      <c r="X27" s="11">
        <v>0</v>
      </c>
      <c r="Y27" s="11">
        <v>8</v>
      </c>
      <c r="Z27" s="12">
        <v>0.1062</v>
      </c>
      <c r="AA27" t="s">
        <v>66</v>
      </c>
      <c r="AB27" t="s">
        <v>56</v>
      </c>
      <c r="AC27" t="s">
        <v>57</v>
      </c>
      <c r="AD27" t="str">
        <f t="shared" si="0"/>
        <v>CONFLICTO</v>
      </c>
    </row>
    <row r="28" spans="1:30">
      <c r="A28" t="s">
        <v>155</v>
      </c>
      <c r="B28" s="15">
        <v>46219</v>
      </c>
      <c r="C28" t="s">
        <v>107</v>
      </c>
      <c r="D28">
        <v>29</v>
      </c>
      <c r="E28" t="s">
        <v>156</v>
      </c>
      <c r="F28" t="s">
        <v>157</v>
      </c>
      <c r="G28" t="s">
        <v>48</v>
      </c>
      <c r="H28" t="s">
        <v>100</v>
      </c>
      <c r="I28" t="s">
        <v>158</v>
      </c>
      <c r="J28" t="s">
        <v>63</v>
      </c>
      <c r="K28" t="s">
        <v>78</v>
      </c>
      <c r="L28" t="s">
        <v>64</v>
      </c>
      <c r="M28" t="s">
        <v>91</v>
      </c>
      <c r="N28" s="16">
        <v>46219.6291666667</v>
      </c>
      <c r="O28" s="16">
        <v>46219.6458333333</v>
      </c>
      <c r="P28" s="16">
        <v>46219.6891666667</v>
      </c>
      <c r="Q28" s="16">
        <v>46219.71</v>
      </c>
      <c r="R28" s="16">
        <v>46219.7204166667</v>
      </c>
      <c r="S28" s="16">
        <v>46219.7370833333</v>
      </c>
      <c r="T28" s="16">
        <v>46219.7620833333</v>
      </c>
      <c r="U28" s="11">
        <v>0.85</v>
      </c>
      <c r="V28" s="11">
        <v>1.04</v>
      </c>
      <c r="W28" s="11">
        <v>1.04</v>
      </c>
      <c r="X28" s="11">
        <v>0</v>
      </c>
      <c r="Y28" s="11">
        <v>8</v>
      </c>
      <c r="Z28" s="12">
        <v>0.13</v>
      </c>
      <c r="AA28" t="s">
        <v>66</v>
      </c>
      <c r="AB28" t="s">
        <v>56</v>
      </c>
      <c r="AC28" t="s">
        <v>57</v>
      </c>
      <c r="AD28" t="str">
        <f t="shared" si="0"/>
        <v>CONFLICTO</v>
      </c>
    </row>
    <row r="29" spans="1:30">
      <c r="A29" t="s">
        <v>159</v>
      </c>
      <c r="B29" s="15">
        <v>46230</v>
      </c>
      <c r="C29" t="s">
        <v>45</v>
      </c>
      <c r="D29">
        <v>31</v>
      </c>
      <c r="E29" t="s">
        <v>160</v>
      </c>
      <c r="F29" t="s">
        <v>161</v>
      </c>
      <c r="G29" t="s">
        <v>48</v>
      </c>
      <c r="H29" t="s">
        <v>49</v>
      </c>
      <c r="I29" t="s">
        <v>122</v>
      </c>
      <c r="J29" t="s">
        <v>85</v>
      </c>
      <c r="K29" t="s">
        <v>105</v>
      </c>
      <c r="L29" t="s">
        <v>53</v>
      </c>
      <c r="M29" t="s">
        <v>54</v>
      </c>
      <c r="N29" s="16">
        <v>46230.3166666667</v>
      </c>
      <c r="O29" s="16">
        <v>46230.3333333333</v>
      </c>
      <c r="P29" s="16">
        <v>46230.5316666667</v>
      </c>
      <c r="Q29" s="16">
        <v>46230.5525</v>
      </c>
      <c r="R29" s="16">
        <v>46230.5629166667</v>
      </c>
      <c r="S29" s="16">
        <v>46230.5795833333</v>
      </c>
      <c r="T29" s="16">
        <v>46230.6045833333</v>
      </c>
      <c r="U29" s="11">
        <v>3.9</v>
      </c>
      <c r="V29" s="11">
        <v>4.76</v>
      </c>
      <c r="W29" s="11">
        <v>4.76</v>
      </c>
      <c r="X29" s="11">
        <v>0</v>
      </c>
      <c r="Y29" s="11">
        <v>8</v>
      </c>
      <c r="Z29" s="12">
        <v>0.595</v>
      </c>
      <c r="AA29" t="s">
        <v>66</v>
      </c>
      <c r="AB29" t="s">
        <v>56</v>
      </c>
      <c r="AC29" t="s">
        <v>57</v>
      </c>
      <c r="AD29" t="str">
        <f t="shared" si="0"/>
        <v>CONFLICTO</v>
      </c>
    </row>
    <row r="30" spans="1:30">
      <c r="A30" t="s">
        <v>162</v>
      </c>
      <c r="B30" s="15">
        <v>46225</v>
      </c>
      <c r="C30" t="s">
        <v>68</v>
      </c>
      <c r="D30">
        <v>30</v>
      </c>
      <c r="E30" t="s">
        <v>163</v>
      </c>
      <c r="F30" t="s">
        <v>164</v>
      </c>
      <c r="G30" t="s">
        <v>48</v>
      </c>
      <c r="H30" t="s">
        <v>100</v>
      </c>
      <c r="I30" t="s">
        <v>72</v>
      </c>
      <c r="J30" t="s">
        <v>117</v>
      </c>
      <c r="K30" t="s">
        <v>165</v>
      </c>
      <c r="L30" t="s">
        <v>64</v>
      </c>
      <c r="M30" t="s">
        <v>65</v>
      </c>
      <c r="N30" s="16">
        <v>46225.4</v>
      </c>
      <c r="O30" s="16">
        <v>46225.4166666667</v>
      </c>
      <c r="P30" s="16">
        <v>46225.4445833333</v>
      </c>
      <c r="Q30" s="16">
        <v>46225.4654166667</v>
      </c>
      <c r="R30" s="16">
        <v>46225.4758333333</v>
      </c>
      <c r="S30" s="16">
        <v>46225.4925</v>
      </c>
      <c r="T30" s="16">
        <v>46225.5175</v>
      </c>
      <c r="U30" s="11">
        <v>0.55</v>
      </c>
      <c r="V30" s="11">
        <v>0.67</v>
      </c>
      <c r="W30" s="11">
        <v>0.67</v>
      </c>
      <c r="X30" s="11">
        <v>0</v>
      </c>
      <c r="Y30" s="11">
        <v>8</v>
      </c>
      <c r="Z30" s="12">
        <v>0.0838</v>
      </c>
      <c r="AA30" t="s">
        <v>66</v>
      </c>
      <c r="AB30" t="s">
        <v>56</v>
      </c>
      <c r="AC30" t="s">
        <v>57</v>
      </c>
      <c r="AD30" t="str">
        <f t="shared" si="0"/>
        <v>CONFLICTO</v>
      </c>
    </row>
    <row r="31" spans="1:30">
      <c r="A31" t="s">
        <v>166</v>
      </c>
      <c r="B31" s="15">
        <v>46225</v>
      </c>
      <c r="C31" t="s">
        <v>68</v>
      </c>
      <c r="D31">
        <v>30</v>
      </c>
      <c r="E31" t="s">
        <v>167</v>
      </c>
      <c r="F31" t="s">
        <v>168</v>
      </c>
      <c r="G31" t="s">
        <v>48</v>
      </c>
      <c r="H31" t="s">
        <v>96</v>
      </c>
      <c r="I31" t="s">
        <v>50</v>
      </c>
      <c r="J31" t="s">
        <v>63</v>
      </c>
      <c r="K31" t="s">
        <v>169</v>
      </c>
      <c r="L31" t="s">
        <v>53</v>
      </c>
      <c r="M31" t="s">
        <v>73</v>
      </c>
      <c r="N31" s="16">
        <v>46225.5666666667</v>
      </c>
      <c r="O31" s="16">
        <v>46225.5833333333</v>
      </c>
      <c r="P31" s="16">
        <v>46225.7966666667</v>
      </c>
      <c r="Q31" s="16">
        <v>46225.8175</v>
      </c>
      <c r="R31" s="16">
        <v>46225.8279166667</v>
      </c>
      <c r="S31" s="16">
        <v>46225.8445833333</v>
      </c>
      <c r="T31" s="16">
        <v>46225.8695833333</v>
      </c>
      <c r="U31" s="11">
        <v>4.2</v>
      </c>
      <c r="V31" s="11">
        <v>5.12</v>
      </c>
      <c r="W31" s="11">
        <v>3.5</v>
      </c>
      <c r="X31" s="11">
        <v>1.62</v>
      </c>
      <c r="Y31" s="11">
        <v>8</v>
      </c>
      <c r="Z31" s="12">
        <v>0.64</v>
      </c>
      <c r="AA31" t="s">
        <v>55</v>
      </c>
      <c r="AB31" t="s">
        <v>56</v>
      </c>
      <c r="AC31" t="s">
        <v>57</v>
      </c>
      <c r="AD31" t="str">
        <f t="shared" si="0"/>
        <v>CONFLICTO</v>
      </c>
    </row>
    <row r="32" spans="1:30">
      <c r="A32" t="s">
        <v>170</v>
      </c>
      <c r="B32" s="15">
        <v>46216</v>
      </c>
      <c r="C32" t="s">
        <v>45</v>
      </c>
      <c r="D32">
        <v>29</v>
      </c>
      <c r="E32" t="s">
        <v>171</v>
      </c>
      <c r="F32" t="s">
        <v>172</v>
      </c>
      <c r="G32" t="s">
        <v>48</v>
      </c>
      <c r="H32" t="s">
        <v>173</v>
      </c>
      <c r="I32" t="s">
        <v>158</v>
      </c>
      <c r="J32" t="s">
        <v>85</v>
      </c>
      <c r="K32" t="s">
        <v>141</v>
      </c>
      <c r="L32" t="s">
        <v>64</v>
      </c>
      <c r="M32" t="s">
        <v>79</v>
      </c>
      <c r="N32" s="16">
        <v>46216.6291666667</v>
      </c>
      <c r="O32" s="16">
        <v>46216.6458333333</v>
      </c>
      <c r="P32" s="16">
        <v>46216.6891666667</v>
      </c>
      <c r="Q32" s="16">
        <v>46216.71</v>
      </c>
      <c r="R32" s="16">
        <v>46216.7204166667</v>
      </c>
      <c r="S32" s="16">
        <v>46216.7370833333</v>
      </c>
      <c r="T32" s="16">
        <v>46216.7620833333</v>
      </c>
      <c r="U32" s="11">
        <v>0.85</v>
      </c>
      <c r="V32" s="11">
        <v>1.04</v>
      </c>
      <c r="W32" s="11">
        <v>1.04</v>
      </c>
      <c r="X32" s="11">
        <v>0</v>
      </c>
      <c r="Y32" s="11">
        <v>8</v>
      </c>
      <c r="Z32" s="12">
        <v>0.13</v>
      </c>
      <c r="AA32" t="s">
        <v>66</v>
      </c>
      <c r="AB32" t="s">
        <v>56</v>
      </c>
      <c r="AC32" t="s">
        <v>57</v>
      </c>
      <c r="AD32" t="str">
        <f t="shared" si="0"/>
        <v>CONFLICTO</v>
      </c>
    </row>
    <row r="33" spans="1:30">
      <c r="A33" t="s">
        <v>174</v>
      </c>
      <c r="B33" s="15">
        <v>46230</v>
      </c>
      <c r="C33" t="s">
        <v>45</v>
      </c>
      <c r="D33">
        <v>31</v>
      </c>
      <c r="E33" t="s">
        <v>175</v>
      </c>
      <c r="F33" t="s">
        <v>176</v>
      </c>
      <c r="G33" t="s">
        <v>48</v>
      </c>
      <c r="H33" t="s">
        <v>100</v>
      </c>
      <c r="I33" t="s">
        <v>177</v>
      </c>
      <c r="J33" t="s">
        <v>63</v>
      </c>
      <c r="K33" t="s">
        <v>141</v>
      </c>
      <c r="L33" t="s">
        <v>53</v>
      </c>
      <c r="M33" t="s">
        <v>86</v>
      </c>
      <c r="N33" s="16">
        <v>46230.3166666667</v>
      </c>
      <c r="O33" s="16">
        <v>46230.3333333333</v>
      </c>
      <c r="P33" s="16">
        <v>46230.36875</v>
      </c>
      <c r="Q33" s="16">
        <v>46230.3895833333</v>
      </c>
      <c r="R33" s="16">
        <v>46230.4</v>
      </c>
      <c r="S33" s="16">
        <v>46230.4166666667</v>
      </c>
      <c r="T33" s="16">
        <v>46230.4416666667</v>
      </c>
      <c r="U33" s="11">
        <v>0.7</v>
      </c>
      <c r="V33" s="11">
        <v>0.85</v>
      </c>
      <c r="W33" s="11">
        <v>0.85</v>
      </c>
      <c r="X33" s="11">
        <v>0</v>
      </c>
      <c r="Y33" s="11">
        <v>8</v>
      </c>
      <c r="Z33" s="12">
        <v>0.1062</v>
      </c>
      <c r="AA33" t="s">
        <v>66</v>
      </c>
      <c r="AB33" t="s">
        <v>56</v>
      </c>
      <c r="AC33" t="s">
        <v>57</v>
      </c>
      <c r="AD33" t="str">
        <f t="shared" si="0"/>
        <v>CONFLICTO</v>
      </c>
    </row>
    <row r="34" spans="1:30">
      <c r="A34" t="s">
        <v>178</v>
      </c>
      <c r="B34" s="15">
        <v>46227</v>
      </c>
      <c r="C34" t="s">
        <v>93</v>
      </c>
      <c r="D34">
        <v>30</v>
      </c>
      <c r="E34" t="s">
        <v>179</v>
      </c>
      <c r="F34" t="s">
        <v>180</v>
      </c>
      <c r="G34" t="s">
        <v>48</v>
      </c>
      <c r="H34" t="s">
        <v>49</v>
      </c>
      <c r="I34" t="s">
        <v>84</v>
      </c>
      <c r="J34" t="s">
        <v>85</v>
      </c>
      <c r="K34" t="s">
        <v>105</v>
      </c>
      <c r="L34" t="s">
        <v>64</v>
      </c>
      <c r="M34" t="s">
        <v>91</v>
      </c>
      <c r="N34" s="16">
        <v>46227.4</v>
      </c>
      <c r="O34" s="16">
        <v>46227.4166666667</v>
      </c>
      <c r="P34" s="16">
        <v>46227.6870833333</v>
      </c>
      <c r="Q34" s="16">
        <v>46227.7079166667</v>
      </c>
      <c r="R34" s="16">
        <v>46227.7183333333</v>
      </c>
      <c r="S34" s="16">
        <v>46227.735</v>
      </c>
      <c r="T34" s="16">
        <v>46227.76</v>
      </c>
      <c r="U34" s="11">
        <v>4.5</v>
      </c>
      <c r="V34" s="11">
        <v>5.49</v>
      </c>
      <c r="W34" s="11">
        <v>5.49</v>
      </c>
      <c r="X34" s="11">
        <v>0</v>
      </c>
      <c r="Y34" s="11">
        <v>8</v>
      </c>
      <c r="Z34" s="12">
        <v>0.6863</v>
      </c>
      <c r="AA34" t="s">
        <v>55</v>
      </c>
      <c r="AB34" t="s">
        <v>56</v>
      </c>
      <c r="AC34" t="s">
        <v>57</v>
      </c>
      <c r="AD34" t="str">
        <f t="shared" si="0"/>
        <v>CONFLICTO</v>
      </c>
    </row>
    <row r="35" spans="1:30">
      <c r="A35" t="s">
        <v>181</v>
      </c>
      <c r="B35" s="15">
        <v>46225</v>
      </c>
      <c r="C35" t="s">
        <v>68</v>
      </c>
      <c r="D35">
        <v>30</v>
      </c>
      <c r="E35" t="s">
        <v>182</v>
      </c>
      <c r="F35" t="s">
        <v>183</v>
      </c>
      <c r="G35" t="s">
        <v>48</v>
      </c>
      <c r="H35" t="s">
        <v>100</v>
      </c>
      <c r="I35" t="s">
        <v>184</v>
      </c>
      <c r="J35" t="s">
        <v>117</v>
      </c>
      <c r="K35" t="s">
        <v>52</v>
      </c>
      <c r="L35" t="s">
        <v>53</v>
      </c>
      <c r="M35" t="s">
        <v>54</v>
      </c>
      <c r="N35" s="16">
        <v>46225.5666666667</v>
      </c>
      <c r="O35" s="16">
        <v>46225.5833333333</v>
      </c>
      <c r="P35" s="16">
        <v>46225.7916666667</v>
      </c>
      <c r="Q35" s="16">
        <v>46225.8125</v>
      </c>
      <c r="R35" s="16">
        <v>46225.8229166667</v>
      </c>
      <c r="S35" s="16">
        <v>46225.8395833333</v>
      </c>
      <c r="T35" s="16">
        <v>46225.8645833333</v>
      </c>
      <c r="U35" s="11">
        <v>4.1</v>
      </c>
      <c r="V35" s="11">
        <v>5</v>
      </c>
      <c r="W35" s="11">
        <v>3.5</v>
      </c>
      <c r="X35" s="11">
        <v>1.5</v>
      </c>
      <c r="Y35" s="11">
        <v>8</v>
      </c>
      <c r="Z35" s="12">
        <v>0.625</v>
      </c>
      <c r="AA35" t="s">
        <v>55</v>
      </c>
      <c r="AB35" t="s">
        <v>56</v>
      </c>
      <c r="AC35" t="s">
        <v>57</v>
      </c>
      <c r="AD35" t="str">
        <f t="shared" si="0"/>
        <v>CONFLICTO</v>
      </c>
    </row>
    <row r="36" spans="1:30">
      <c r="A36" t="s">
        <v>185</v>
      </c>
      <c r="B36" s="15">
        <v>46223</v>
      </c>
      <c r="C36" t="s">
        <v>45</v>
      </c>
      <c r="D36">
        <v>30</v>
      </c>
      <c r="E36" t="s">
        <v>186</v>
      </c>
      <c r="F36" t="s">
        <v>187</v>
      </c>
      <c r="G36" t="s">
        <v>48</v>
      </c>
      <c r="H36" t="s">
        <v>49</v>
      </c>
      <c r="I36" t="s">
        <v>50</v>
      </c>
      <c r="J36" t="s">
        <v>63</v>
      </c>
      <c r="K36" t="s">
        <v>105</v>
      </c>
      <c r="L36" t="s">
        <v>64</v>
      </c>
      <c r="M36" t="s">
        <v>65</v>
      </c>
      <c r="N36" s="16">
        <v>46223.6291666667</v>
      </c>
      <c r="O36" s="16">
        <v>46223.6458333333</v>
      </c>
      <c r="P36" s="16">
        <v>46223.8591666667</v>
      </c>
      <c r="Q36" s="16">
        <v>46223.88</v>
      </c>
      <c r="R36" s="16">
        <v>46223.8904166667</v>
      </c>
      <c r="S36" s="16">
        <v>46223.9070833333</v>
      </c>
      <c r="T36" s="16">
        <v>46223.9320833333</v>
      </c>
      <c r="U36" s="11">
        <v>4.2</v>
      </c>
      <c r="V36" s="11">
        <v>5.12</v>
      </c>
      <c r="W36" s="11">
        <v>2.12</v>
      </c>
      <c r="X36" s="11">
        <v>3</v>
      </c>
      <c r="Y36" s="11">
        <v>8</v>
      </c>
      <c r="Z36" s="12">
        <v>0.64</v>
      </c>
      <c r="AA36" t="s">
        <v>55</v>
      </c>
      <c r="AB36" t="s">
        <v>56</v>
      </c>
      <c r="AC36" t="s">
        <v>57</v>
      </c>
      <c r="AD36" t="str">
        <f t="shared" si="0"/>
        <v>CONFLICTO</v>
      </c>
    </row>
    <row r="37" spans="1:30">
      <c r="A37" t="s">
        <v>188</v>
      </c>
      <c r="B37" s="15">
        <v>46220</v>
      </c>
      <c r="C37" t="s">
        <v>93</v>
      </c>
      <c r="D37">
        <v>29</v>
      </c>
      <c r="E37" t="s">
        <v>189</v>
      </c>
      <c r="F37" t="s">
        <v>190</v>
      </c>
      <c r="G37" t="s">
        <v>48</v>
      </c>
      <c r="H37" t="s">
        <v>96</v>
      </c>
      <c r="I37" t="s">
        <v>84</v>
      </c>
      <c r="J37" t="s">
        <v>85</v>
      </c>
      <c r="K37" t="s">
        <v>78</v>
      </c>
      <c r="L37" t="s">
        <v>53</v>
      </c>
      <c r="M37" t="s">
        <v>73</v>
      </c>
      <c r="N37" s="16">
        <v>46220.3166666667</v>
      </c>
      <c r="O37" s="16">
        <v>46220.3333333333</v>
      </c>
      <c r="P37" s="16">
        <v>46220.60375</v>
      </c>
      <c r="Q37" s="16">
        <v>46220.6245833333</v>
      </c>
      <c r="R37" s="16">
        <v>46220.635</v>
      </c>
      <c r="S37" s="16">
        <v>46220.6516666667</v>
      </c>
      <c r="T37" s="16">
        <v>46220.6766666667</v>
      </c>
      <c r="U37" s="11">
        <v>4.5</v>
      </c>
      <c r="V37" s="11">
        <v>5.49</v>
      </c>
      <c r="W37" s="11">
        <v>5.49</v>
      </c>
      <c r="X37" s="11">
        <v>0</v>
      </c>
      <c r="Y37" s="11">
        <v>8</v>
      </c>
      <c r="Z37" s="12">
        <v>0.6863</v>
      </c>
      <c r="AA37" t="s">
        <v>55</v>
      </c>
      <c r="AB37" t="s">
        <v>56</v>
      </c>
      <c r="AC37" t="s">
        <v>57</v>
      </c>
      <c r="AD37" t="str">
        <f t="shared" si="0"/>
        <v>CONFLICTO</v>
      </c>
    </row>
    <row r="38" spans="1:30">
      <c r="A38" t="s">
        <v>191</v>
      </c>
      <c r="B38" s="15">
        <v>46230</v>
      </c>
      <c r="C38" t="s">
        <v>45</v>
      </c>
      <c r="D38">
        <v>31</v>
      </c>
      <c r="E38" t="s">
        <v>192</v>
      </c>
      <c r="F38" t="s">
        <v>193</v>
      </c>
      <c r="G38" t="s">
        <v>48</v>
      </c>
      <c r="H38" t="s">
        <v>154</v>
      </c>
      <c r="I38" t="s">
        <v>194</v>
      </c>
      <c r="J38" t="s">
        <v>63</v>
      </c>
      <c r="K38" t="s">
        <v>165</v>
      </c>
      <c r="L38" t="s">
        <v>64</v>
      </c>
      <c r="M38" t="s">
        <v>79</v>
      </c>
      <c r="N38" s="16">
        <v>46230.4</v>
      </c>
      <c r="O38" s="16">
        <v>46230.4166666667</v>
      </c>
      <c r="P38" s="16">
        <v>46230.4725</v>
      </c>
      <c r="Q38" s="16">
        <v>46230.4933333333</v>
      </c>
      <c r="R38" s="16">
        <v>46230.50375</v>
      </c>
      <c r="S38" s="16">
        <v>46230.5204166667</v>
      </c>
      <c r="T38" s="16">
        <v>46230.5454166667</v>
      </c>
      <c r="U38" s="11">
        <v>1.1</v>
      </c>
      <c r="V38" s="11">
        <v>1.34</v>
      </c>
      <c r="W38" s="11">
        <v>1.34</v>
      </c>
      <c r="X38" s="11">
        <v>0</v>
      </c>
      <c r="Y38" s="11">
        <v>8</v>
      </c>
      <c r="Z38" s="12">
        <v>0.1675</v>
      </c>
      <c r="AA38" t="s">
        <v>66</v>
      </c>
      <c r="AB38" t="s">
        <v>56</v>
      </c>
      <c r="AC38" t="s">
        <v>57</v>
      </c>
      <c r="AD38" t="str">
        <f t="shared" si="0"/>
        <v>CONFLICTO</v>
      </c>
    </row>
    <row r="39" spans="1:30">
      <c r="A39" t="s">
        <v>195</v>
      </c>
      <c r="B39" s="15">
        <v>46227</v>
      </c>
      <c r="C39" t="s">
        <v>93</v>
      </c>
      <c r="D39">
        <v>30</v>
      </c>
      <c r="E39" t="s">
        <v>196</v>
      </c>
      <c r="F39" t="s">
        <v>197</v>
      </c>
      <c r="G39" t="s">
        <v>48</v>
      </c>
      <c r="H39" t="s">
        <v>116</v>
      </c>
      <c r="I39" t="s">
        <v>158</v>
      </c>
      <c r="J39" t="s">
        <v>63</v>
      </c>
      <c r="K39" t="s">
        <v>141</v>
      </c>
      <c r="L39" t="s">
        <v>53</v>
      </c>
      <c r="M39" t="s">
        <v>86</v>
      </c>
      <c r="N39" s="16">
        <v>46227.5666666667</v>
      </c>
      <c r="O39" s="16">
        <v>46227.5833333333</v>
      </c>
      <c r="P39" s="16">
        <v>46227.6266666667</v>
      </c>
      <c r="Q39" s="16">
        <v>46227.6475</v>
      </c>
      <c r="R39" s="16">
        <v>46227.6579166667</v>
      </c>
      <c r="S39" s="16">
        <v>46227.6745833333</v>
      </c>
      <c r="T39" s="16">
        <v>46227.6995833333</v>
      </c>
      <c r="U39" s="11">
        <v>0.85</v>
      </c>
      <c r="V39" s="11">
        <v>1.04</v>
      </c>
      <c r="W39" s="11">
        <v>1.04</v>
      </c>
      <c r="X39" s="11">
        <v>0</v>
      </c>
      <c r="Y39" s="11">
        <v>8</v>
      </c>
      <c r="Z39" s="12">
        <v>0.13</v>
      </c>
      <c r="AA39" t="s">
        <v>66</v>
      </c>
      <c r="AB39" t="s">
        <v>56</v>
      </c>
      <c r="AC39" t="s">
        <v>57</v>
      </c>
      <c r="AD39" t="str">
        <f t="shared" si="0"/>
        <v>OK</v>
      </c>
    </row>
    <row r="40" spans="1:30">
      <c r="A40" t="s">
        <v>198</v>
      </c>
      <c r="B40" s="15">
        <v>46217</v>
      </c>
      <c r="C40" t="s">
        <v>88</v>
      </c>
      <c r="D40">
        <v>29</v>
      </c>
      <c r="E40" t="s">
        <v>199</v>
      </c>
      <c r="F40" t="s">
        <v>200</v>
      </c>
      <c r="G40" t="s">
        <v>48</v>
      </c>
      <c r="H40" t="s">
        <v>83</v>
      </c>
      <c r="I40" t="s">
        <v>177</v>
      </c>
      <c r="J40" t="s">
        <v>85</v>
      </c>
      <c r="K40" t="s">
        <v>52</v>
      </c>
      <c r="L40" t="s">
        <v>64</v>
      </c>
      <c r="M40" t="s">
        <v>91</v>
      </c>
      <c r="N40" s="16">
        <v>46217.6291666667</v>
      </c>
      <c r="O40" s="16">
        <v>46217.6458333333</v>
      </c>
      <c r="P40" s="16">
        <v>46217.68125</v>
      </c>
      <c r="Q40" s="16">
        <v>46217.7020833333</v>
      </c>
      <c r="R40" s="16">
        <v>46217.7125</v>
      </c>
      <c r="S40" s="16">
        <v>46217.7291666667</v>
      </c>
      <c r="T40" s="16">
        <v>46217.7541666667</v>
      </c>
      <c r="U40" s="11">
        <v>0.7</v>
      </c>
      <c r="V40" s="11">
        <v>0.85</v>
      </c>
      <c r="W40" s="11">
        <v>0.85</v>
      </c>
      <c r="X40" s="11">
        <v>0</v>
      </c>
      <c r="Y40" s="11">
        <v>8</v>
      </c>
      <c r="Z40" s="12">
        <v>0.1062</v>
      </c>
      <c r="AA40" t="s">
        <v>66</v>
      </c>
      <c r="AB40" t="s">
        <v>56</v>
      </c>
      <c r="AC40" t="s">
        <v>57</v>
      </c>
      <c r="AD40" t="str">
        <f t="shared" si="0"/>
        <v>CONFLICTO</v>
      </c>
    </row>
    <row r="41" spans="1:30">
      <c r="A41" t="s">
        <v>201</v>
      </c>
      <c r="B41" s="15">
        <v>46224</v>
      </c>
      <c r="C41" t="s">
        <v>88</v>
      </c>
      <c r="D41">
        <v>30</v>
      </c>
      <c r="E41" t="s">
        <v>202</v>
      </c>
      <c r="F41" t="s">
        <v>203</v>
      </c>
      <c r="G41" t="s">
        <v>48</v>
      </c>
      <c r="H41" t="s">
        <v>49</v>
      </c>
      <c r="I41" t="s">
        <v>84</v>
      </c>
      <c r="J41" t="s">
        <v>51</v>
      </c>
      <c r="K41" t="s">
        <v>165</v>
      </c>
      <c r="L41" t="s">
        <v>53</v>
      </c>
      <c r="M41" t="s">
        <v>54</v>
      </c>
      <c r="N41" s="16">
        <v>46224.3166666667</v>
      </c>
      <c r="O41" s="16">
        <v>46224.3333333333</v>
      </c>
      <c r="P41" s="16">
        <v>46224.60375</v>
      </c>
      <c r="Q41" s="16">
        <v>46224.6245833333</v>
      </c>
      <c r="R41" s="16">
        <v>46224.635</v>
      </c>
      <c r="S41" s="16">
        <v>46224.6516666667</v>
      </c>
      <c r="T41" s="16">
        <v>46224.6766666667</v>
      </c>
      <c r="U41" s="11">
        <v>4.5</v>
      </c>
      <c r="V41" s="11">
        <v>5.49</v>
      </c>
      <c r="W41" s="11">
        <v>5.49</v>
      </c>
      <c r="X41" s="11">
        <v>0</v>
      </c>
      <c r="Y41" s="11">
        <v>8</v>
      </c>
      <c r="Z41" s="12">
        <v>0.6863</v>
      </c>
      <c r="AA41" t="s">
        <v>55</v>
      </c>
      <c r="AB41" t="s">
        <v>56</v>
      </c>
      <c r="AC41" t="s">
        <v>57</v>
      </c>
      <c r="AD41" t="str">
        <f t="shared" si="0"/>
        <v>CONFLICTO</v>
      </c>
    </row>
    <row r="42" spans="1:30">
      <c r="A42" t="s">
        <v>204</v>
      </c>
      <c r="B42" s="15">
        <v>46219</v>
      </c>
      <c r="C42" t="s">
        <v>107</v>
      </c>
      <c r="D42">
        <v>29</v>
      </c>
      <c r="E42" t="s">
        <v>205</v>
      </c>
      <c r="F42" t="s">
        <v>206</v>
      </c>
      <c r="G42" t="s">
        <v>48</v>
      </c>
      <c r="H42" t="s">
        <v>121</v>
      </c>
      <c r="I42" t="s">
        <v>77</v>
      </c>
      <c r="J42" t="s">
        <v>63</v>
      </c>
      <c r="K42" t="s">
        <v>105</v>
      </c>
      <c r="L42" t="s">
        <v>64</v>
      </c>
      <c r="M42" t="s">
        <v>65</v>
      </c>
      <c r="N42" s="16">
        <v>46219.4</v>
      </c>
      <c r="O42" s="16">
        <v>46219.4166666667</v>
      </c>
      <c r="P42" s="16">
        <v>46219.46</v>
      </c>
      <c r="Q42" s="16">
        <v>46219.4808333333</v>
      </c>
      <c r="R42" s="16">
        <v>46219.49125</v>
      </c>
      <c r="S42" s="16">
        <v>46219.5079166667</v>
      </c>
      <c r="T42" s="16">
        <v>46219.5329166667</v>
      </c>
      <c r="U42" s="11">
        <v>0.85</v>
      </c>
      <c r="V42" s="11">
        <v>1.04</v>
      </c>
      <c r="W42" s="11">
        <v>1.04</v>
      </c>
      <c r="X42" s="11">
        <v>0</v>
      </c>
      <c r="Y42" s="11">
        <v>8</v>
      </c>
      <c r="Z42" s="12">
        <v>0.13</v>
      </c>
      <c r="AA42" t="s">
        <v>66</v>
      </c>
      <c r="AB42" t="s">
        <v>56</v>
      </c>
      <c r="AC42" t="s">
        <v>57</v>
      </c>
      <c r="AD42" t="str">
        <f t="shared" si="0"/>
        <v>CONFLICTO</v>
      </c>
    </row>
    <row r="43" spans="1:30">
      <c r="A43" t="s">
        <v>207</v>
      </c>
      <c r="B43" s="15">
        <v>46224</v>
      </c>
      <c r="C43" t="s">
        <v>88</v>
      </c>
      <c r="D43">
        <v>30</v>
      </c>
      <c r="E43" t="s">
        <v>208</v>
      </c>
      <c r="F43" t="s">
        <v>209</v>
      </c>
      <c r="G43" t="s">
        <v>48</v>
      </c>
      <c r="H43" t="s">
        <v>83</v>
      </c>
      <c r="I43" t="s">
        <v>184</v>
      </c>
      <c r="J43" t="s">
        <v>117</v>
      </c>
      <c r="K43" t="s">
        <v>169</v>
      </c>
      <c r="L43" t="s">
        <v>53</v>
      </c>
      <c r="M43" t="s">
        <v>73</v>
      </c>
      <c r="N43" s="16">
        <v>46224.5666666667</v>
      </c>
      <c r="O43" s="16">
        <v>46224.5833333333</v>
      </c>
      <c r="P43" s="16">
        <v>46224.7916666667</v>
      </c>
      <c r="Q43" s="16">
        <v>46224.8125</v>
      </c>
      <c r="R43" s="16">
        <v>46224.8229166667</v>
      </c>
      <c r="S43" s="16">
        <v>46224.8395833333</v>
      </c>
      <c r="T43" s="16">
        <v>46224.8645833333</v>
      </c>
      <c r="U43" s="11">
        <v>4.1</v>
      </c>
      <c r="V43" s="11">
        <v>5</v>
      </c>
      <c r="W43" s="11">
        <v>3.5</v>
      </c>
      <c r="X43" s="11">
        <v>1.5</v>
      </c>
      <c r="Y43" s="11">
        <v>8</v>
      </c>
      <c r="Z43" s="12">
        <v>0.625</v>
      </c>
      <c r="AA43" t="s">
        <v>55</v>
      </c>
      <c r="AB43" t="s">
        <v>56</v>
      </c>
      <c r="AC43" t="s">
        <v>57</v>
      </c>
      <c r="AD43" t="str">
        <f t="shared" si="0"/>
        <v>OK</v>
      </c>
    </row>
    <row r="44" spans="1:30">
      <c r="A44" t="s">
        <v>210</v>
      </c>
      <c r="B44" s="15">
        <v>46224</v>
      </c>
      <c r="C44" t="s">
        <v>88</v>
      </c>
      <c r="D44">
        <v>30</v>
      </c>
      <c r="E44" t="s">
        <v>211</v>
      </c>
      <c r="F44" t="s">
        <v>212</v>
      </c>
      <c r="G44" t="s">
        <v>48</v>
      </c>
      <c r="H44" t="s">
        <v>121</v>
      </c>
      <c r="I44" t="s">
        <v>177</v>
      </c>
      <c r="J44" t="s">
        <v>51</v>
      </c>
      <c r="K44" t="s">
        <v>78</v>
      </c>
      <c r="L44" t="s">
        <v>64</v>
      </c>
      <c r="M44" t="s">
        <v>79</v>
      </c>
      <c r="N44" s="16">
        <v>46224.6291666667</v>
      </c>
      <c r="O44" s="16">
        <v>46224.6458333333</v>
      </c>
      <c r="P44" s="16">
        <v>46224.68125</v>
      </c>
      <c r="Q44" s="16">
        <v>46224.7020833333</v>
      </c>
      <c r="R44" s="16">
        <v>46224.7125</v>
      </c>
      <c r="S44" s="16">
        <v>46224.7291666667</v>
      </c>
      <c r="T44" s="16">
        <v>46224.7541666667</v>
      </c>
      <c r="U44" s="11">
        <v>0.7</v>
      </c>
      <c r="V44" s="11">
        <v>0.85</v>
      </c>
      <c r="W44" s="11">
        <v>0.85</v>
      </c>
      <c r="X44" s="11">
        <v>0</v>
      </c>
      <c r="Y44" s="11">
        <v>8</v>
      </c>
      <c r="Z44" s="12">
        <v>0.1062</v>
      </c>
      <c r="AA44" t="s">
        <v>66</v>
      </c>
      <c r="AB44" t="s">
        <v>56</v>
      </c>
      <c r="AC44" t="s">
        <v>57</v>
      </c>
      <c r="AD44" t="str">
        <f t="shared" si="0"/>
        <v>CONFLICTO</v>
      </c>
    </row>
    <row r="45" spans="1:30">
      <c r="A45" t="s">
        <v>213</v>
      </c>
      <c r="B45" s="15">
        <v>46226</v>
      </c>
      <c r="C45" t="s">
        <v>107</v>
      </c>
      <c r="D45">
        <v>30</v>
      </c>
      <c r="E45" t="s">
        <v>214</v>
      </c>
      <c r="F45" t="s">
        <v>215</v>
      </c>
      <c r="G45" t="s">
        <v>48</v>
      </c>
      <c r="H45" t="s">
        <v>216</v>
      </c>
      <c r="I45" t="s">
        <v>50</v>
      </c>
      <c r="J45" t="s">
        <v>117</v>
      </c>
      <c r="K45" t="s">
        <v>78</v>
      </c>
      <c r="L45" t="s">
        <v>53</v>
      </c>
      <c r="M45" t="s">
        <v>86</v>
      </c>
      <c r="N45" s="16">
        <v>46226.3166666667</v>
      </c>
      <c r="O45" s="16">
        <v>46226.3333333333</v>
      </c>
      <c r="P45" s="16">
        <v>46226.5883333333</v>
      </c>
      <c r="Q45" s="16">
        <v>46226.6091666667</v>
      </c>
      <c r="R45" s="16">
        <v>46226.6195833333</v>
      </c>
      <c r="S45" s="16">
        <v>46226.63625</v>
      </c>
      <c r="T45" s="16">
        <v>46226.66125</v>
      </c>
      <c r="U45" s="11">
        <v>4.2</v>
      </c>
      <c r="V45" s="11">
        <v>5.12</v>
      </c>
      <c r="W45" s="11">
        <v>5.12</v>
      </c>
      <c r="X45" s="11">
        <v>0</v>
      </c>
      <c r="Y45" s="11">
        <v>8</v>
      </c>
      <c r="Z45" s="12">
        <v>0.64</v>
      </c>
      <c r="AA45" t="s">
        <v>55</v>
      </c>
      <c r="AB45" t="s">
        <v>56</v>
      </c>
      <c r="AC45" t="s">
        <v>57</v>
      </c>
      <c r="AD45" t="str">
        <f t="shared" si="0"/>
        <v>CONFLICTO</v>
      </c>
    </row>
    <row r="46" spans="1:30">
      <c r="A46" t="s">
        <v>217</v>
      </c>
      <c r="B46" s="15">
        <v>46219</v>
      </c>
      <c r="C46" t="s">
        <v>107</v>
      </c>
      <c r="D46">
        <v>29</v>
      </c>
      <c r="E46" t="s">
        <v>218</v>
      </c>
      <c r="F46" t="s">
        <v>219</v>
      </c>
      <c r="G46" t="s">
        <v>48</v>
      </c>
      <c r="H46" t="s">
        <v>49</v>
      </c>
      <c r="I46" t="s">
        <v>72</v>
      </c>
      <c r="J46" t="s">
        <v>51</v>
      </c>
      <c r="K46" t="s">
        <v>141</v>
      </c>
      <c r="L46" t="s">
        <v>64</v>
      </c>
      <c r="M46" t="s">
        <v>91</v>
      </c>
      <c r="N46" s="16">
        <v>46219.4</v>
      </c>
      <c r="O46" s="16">
        <v>46219.4166666667</v>
      </c>
      <c r="P46" s="16">
        <v>46219.4445833333</v>
      </c>
      <c r="Q46" s="16">
        <v>46219.4654166667</v>
      </c>
      <c r="R46" s="16">
        <v>46219.4758333333</v>
      </c>
      <c r="S46" s="16">
        <v>46219.4925</v>
      </c>
      <c r="T46" s="16">
        <v>46219.5175</v>
      </c>
      <c r="U46" s="11">
        <v>0.55</v>
      </c>
      <c r="V46" s="11">
        <v>0.67</v>
      </c>
      <c r="W46" s="11">
        <v>0.67</v>
      </c>
      <c r="X46" s="11">
        <v>0</v>
      </c>
      <c r="Y46" s="11">
        <v>8</v>
      </c>
      <c r="Z46" s="12">
        <v>0.0838</v>
      </c>
      <c r="AA46" t="s">
        <v>66</v>
      </c>
      <c r="AB46" t="s">
        <v>56</v>
      </c>
      <c r="AC46" t="s">
        <v>57</v>
      </c>
      <c r="AD46" t="str">
        <f t="shared" si="0"/>
        <v>CONFLICTO</v>
      </c>
    </row>
    <row r="47" spans="1:30">
      <c r="A47" t="s">
        <v>220</v>
      </c>
      <c r="B47" s="15">
        <v>46225</v>
      </c>
      <c r="C47" t="s">
        <v>68</v>
      </c>
      <c r="D47">
        <v>30</v>
      </c>
      <c r="E47" t="s">
        <v>221</v>
      </c>
      <c r="F47" t="s">
        <v>222</v>
      </c>
      <c r="G47" t="s">
        <v>48</v>
      </c>
      <c r="H47" t="s">
        <v>100</v>
      </c>
      <c r="I47" t="s">
        <v>101</v>
      </c>
      <c r="J47" t="s">
        <v>117</v>
      </c>
      <c r="K47" t="s">
        <v>165</v>
      </c>
      <c r="L47" t="s">
        <v>53</v>
      </c>
      <c r="M47" t="s">
        <v>54</v>
      </c>
      <c r="N47" s="16">
        <v>46225.5666666667</v>
      </c>
      <c r="O47" s="16">
        <v>46225.5833333333</v>
      </c>
      <c r="P47" s="16">
        <v>46225.61875</v>
      </c>
      <c r="Q47" s="16">
        <v>46225.6395833333</v>
      </c>
      <c r="R47" s="16">
        <v>46225.65</v>
      </c>
      <c r="S47" s="16">
        <v>46225.6666666667</v>
      </c>
      <c r="T47" s="16">
        <v>46225.6916666667</v>
      </c>
      <c r="U47" s="11">
        <v>0.7</v>
      </c>
      <c r="V47" s="11">
        <v>0.85</v>
      </c>
      <c r="W47" s="11">
        <v>0.85</v>
      </c>
      <c r="X47" s="11">
        <v>0</v>
      </c>
      <c r="Y47" s="11">
        <v>8</v>
      </c>
      <c r="Z47" s="12">
        <v>0.1062</v>
      </c>
      <c r="AA47" t="s">
        <v>66</v>
      </c>
      <c r="AB47" t="s">
        <v>56</v>
      </c>
      <c r="AC47" t="s">
        <v>57</v>
      </c>
      <c r="AD47" t="str">
        <f t="shared" si="0"/>
        <v>OK</v>
      </c>
    </row>
    <row r="48" spans="1:30">
      <c r="A48" t="s">
        <v>223</v>
      </c>
      <c r="B48" s="15">
        <v>46226</v>
      </c>
      <c r="C48" t="s">
        <v>107</v>
      </c>
      <c r="D48">
        <v>30</v>
      </c>
      <c r="E48" t="s">
        <v>224</v>
      </c>
      <c r="F48" t="s">
        <v>225</v>
      </c>
      <c r="G48" t="s">
        <v>48</v>
      </c>
      <c r="H48" t="s">
        <v>154</v>
      </c>
      <c r="I48" t="s">
        <v>62</v>
      </c>
      <c r="J48" t="s">
        <v>63</v>
      </c>
      <c r="K48" t="s">
        <v>105</v>
      </c>
      <c r="L48" t="s">
        <v>64</v>
      </c>
      <c r="M48" t="s">
        <v>65</v>
      </c>
      <c r="N48" s="16">
        <v>46226.6291666667</v>
      </c>
      <c r="O48" s="16">
        <v>46226.6458333333</v>
      </c>
      <c r="P48" s="16">
        <v>46226.67875</v>
      </c>
      <c r="Q48" s="16">
        <v>46226.6995833333</v>
      </c>
      <c r="R48" s="16">
        <v>46226.71</v>
      </c>
      <c r="S48" s="16">
        <v>46226.7266666667</v>
      </c>
      <c r="T48" s="16">
        <v>46226.7516666667</v>
      </c>
      <c r="U48" s="11">
        <v>0.65</v>
      </c>
      <c r="V48" s="11">
        <v>0.79</v>
      </c>
      <c r="W48" s="11">
        <v>0.79</v>
      </c>
      <c r="X48" s="11">
        <v>0</v>
      </c>
      <c r="Y48" s="11">
        <v>8</v>
      </c>
      <c r="Z48" s="12">
        <v>0.0988</v>
      </c>
      <c r="AA48" t="s">
        <v>66</v>
      </c>
      <c r="AB48" t="s">
        <v>56</v>
      </c>
      <c r="AC48" t="s">
        <v>57</v>
      </c>
      <c r="AD48" t="str">
        <f t="shared" si="0"/>
        <v>CONFLICTO</v>
      </c>
    </row>
    <row r="49" spans="1:30">
      <c r="A49" t="s">
        <v>226</v>
      </c>
      <c r="B49" s="15">
        <v>46220</v>
      </c>
      <c r="C49" t="s">
        <v>93</v>
      </c>
      <c r="D49">
        <v>29</v>
      </c>
      <c r="E49" t="s">
        <v>227</v>
      </c>
      <c r="F49" t="s">
        <v>228</v>
      </c>
      <c r="G49" t="s">
        <v>48</v>
      </c>
      <c r="H49" t="s">
        <v>100</v>
      </c>
      <c r="I49" t="s">
        <v>72</v>
      </c>
      <c r="J49" t="s">
        <v>51</v>
      </c>
      <c r="K49" t="s">
        <v>105</v>
      </c>
      <c r="L49" t="s">
        <v>53</v>
      </c>
      <c r="M49" t="s">
        <v>73</v>
      </c>
      <c r="N49" s="16">
        <v>46220.3166666667</v>
      </c>
      <c r="O49" s="16">
        <v>46220.3333333333</v>
      </c>
      <c r="P49" s="16">
        <v>46220.36125</v>
      </c>
      <c r="Q49" s="16">
        <v>46220.3820833333</v>
      </c>
      <c r="R49" s="16">
        <v>46220.3925</v>
      </c>
      <c r="S49" s="16">
        <v>46220.4091666667</v>
      </c>
      <c r="T49" s="16">
        <v>46220.4341666667</v>
      </c>
      <c r="U49" s="11">
        <v>0.55</v>
      </c>
      <c r="V49" s="11">
        <v>0.67</v>
      </c>
      <c r="W49" s="11">
        <v>0.67</v>
      </c>
      <c r="X49" s="11">
        <v>0</v>
      </c>
      <c r="Y49" s="11">
        <v>8</v>
      </c>
      <c r="Z49" s="12">
        <v>0.0838</v>
      </c>
      <c r="AA49" t="s">
        <v>66</v>
      </c>
      <c r="AB49" t="s">
        <v>56</v>
      </c>
      <c r="AC49" t="s">
        <v>57</v>
      </c>
      <c r="AD49" t="str">
        <f t="shared" si="0"/>
        <v>OK</v>
      </c>
    </row>
    <row r="50" spans="1:30">
      <c r="A50" t="s">
        <v>229</v>
      </c>
      <c r="B50" s="15">
        <v>46225</v>
      </c>
      <c r="C50" t="s">
        <v>68</v>
      </c>
      <c r="D50">
        <v>30</v>
      </c>
      <c r="E50" t="s">
        <v>230</v>
      </c>
      <c r="F50" t="s">
        <v>231</v>
      </c>
      <c r="G50" t="s">
        <v>48</v>
      </c>
      <c r="H50" t="s">
        <v>83</v>
      </c>
      <c r="I50" t="s">
        <v>177</v>
      </c>
      <c r="J50" t="s">
        <v>51</v>
      </c>
      <c r="K50" t="s">
        <v>141</v>
      </c>
      <c r="L50" t="s">
        <v>64</v>
      </c>
      <c r="M50" t="s">
        <v>79</v>
      </c>
      <c r="N50" s="16">
        <v>46225.4</v>
      </c>
      <c r="O50" s="16">
        <v>46225.4166666667</v>
      </c>
      <c r="P50" s="16">
        <v>46225.4520833333</v>
      </c>
      <c r="Q50" s="16">
        <v>46225.4729166667</v>
      </c>
      <c r="R50" s="16">
        <v>46225.4833333333</v>
      </c>
      <c r="S50" s="16">
        <v>46225.5</v>
      </c>
      <c r="T50" s="16">
        <v>46225.525</v>
      </c>
      <c r="U50" s="11">
        <v>0.7</v>
      </c>
      <c r="V50" s="11">
        <v>0.85</v>
      </c>
      <c r="W50" s="11">
        <v>0.85</v>
      </c>
      <c r="X50" s="11">
        <v>0</v>
      </c>
      <c r="Y50" s="11">
        <v>8</v>
      </c>
      <c r="Z50" s="12">
        <v>0.1062</v>
      </c>
      <c r="AA50" t="s">
        <v>66</v>
      </c>
      <c r="AB50" t="s">
        <v>56</v>
      </c>
      <c r="AC50" t="s">
        <v>57</v>
      </c>
      <c r="AD50" t="str">
        <f t="shared" si="0"/>
        <v>CONFLICTO</v>
      </c>
    </row>
    <row r="51" spans="1:30">
      <c r="A51" t="s">
        <v>232</v>
      </c>
      <c r="B51" s="15">
        <v>46226</v>
      </c>
      <c r="C51" t="s">
        <v>107</v>
      </c>
      <c r="D51">
        <v>30</v>
      </c>
      <c r="E51" t="s">
        <v>233</v>
      </c>
      <c r="F51" t="s">
        <v>234</v>
      </c>
      <c r="G51" t="s">
        <v>48</v>
      </c>
      <c r="H51" t="s">
        <v>71</v>
      </c>
      <c r="I51" t="s">
        <v>194</v>
      </c>
      <c r="J51" t="s">
        <v>51</v>
      </c>
      <c r="K51" t="s">
        <v>141</v>
      </c>
      <c r="L51" t="s">
        <v>53</v>
      </c>
      <c r="M51" t="s">
        <v>86</v>
      </c>
      <c r="N51" s="16">
        <v>46226.5666666667</v>
      </c>
      <c r="O51" s="16">
        <v>46226.5833333333</v>
      </c>
      <c r="P51" s="16">
        <v>46226.6391666667</v>
      </c>
      <c r="Q51" s="16">
        <v>46226.66</v>
      </c>
      <c r="R51" s="16">
        <v>46226.6704166667</v>
      </c>
      <c r="S51" s="16">
        <v>46226.6870833333</v>
      </c>
      <c r="T51" s="16">
        <v>46226.7120833333</v>
      </c>
      <c r="U51" s="11">
        <v>1.1</v>
      </c>
      <c r="V51" s="11">
        <v>1.34</v>
      </c>
      <c r="W51" s="11">
        <v>1.34</v>
      </c>
      <c r="X51" s="11">
        <v>0</v>
      </c>
      <c r="Y51" s="11">
        <v>8</v>
      </c>
      <c r="Z51" s="12">
        <v>0.1675</v>
      </c>
      <c r="AA51" t="s">
        <v>66</v>
      </c>
      <c r="AB51" t="s">
        <v>56</v>
      </c>
      <c r="AC51" t="s">
        <v>57</v>
      </c>
      <c r="AD51" t="str">
        <f t="shared" si="0"/>
        <v>CONFLICTO</v>
      </c>
    </row>
    <row r="52" spans="1:30">
      <c r="A52" t="s">
        <v>235</v>
      </c>
      <c r="B52" s="15">
        <v>46217</v>
      </c>
      <c r="C52" t="s">
        <v>88</v>
      </c>
      <c r="D52">
        <v>29</v>
      </c>
      <c r="E52" t="s">
        <v>236</v>
      </c>
      <c r="F52" t="s">
        <v>237</v>
      </c>
      <c r="G52" t="s">
        <v>48</v>
      </c>
      <c r="H52" t="s">
        <v>100</v>
      </c>
      <c r="I52" t="s">
        <v>194</v>
      </c>
      <c r="J52" t="s">
        <v>51</v>
      </c>
      <c r="K52" t="s">
        <v>78</v>
      </c>
      <c r="L52" t="s">
        <v>64</v>
      </c>
      <c r="M52" t="s">
        <v>91</v>
      </c>
      <c r="N52" s="16">
        <v>46217.6291666667</v>
      </c>
      <c r="O52" s="16">
        <v>46217.6458333333</v>
      </c>
      <c r="P52" s="16">
        <v>46217.7016666667</v>
      </c>
      <c r="Q52" s="16">
        <v>46217.7225</v>
      </c>
      <c r="R52" s="16">
        <v>46217.7329166667</v>
      </c>
      <c r="S52" s="16">
        <v>46217.7495833333</v>
      </c>
      <c r="T52" s="16">
        <v>46217.7745833333</v>
      </c>
      <c r="U52" s="11">
        <v>1.1</v>
      </c>
      <c r="V52" s="11">
        <v>1.34</v>
      </c>
      <c r="W52" s="11">
        <v>1.34</v>
      </c>
      <c r="X52" s="11">
        <v>0</v>
      </c>
      <c r="Y52" s="11">
        <v>8</v>
      </c>
      <c r="Z52" s="12">
        <v>0.1675</v>
      </c>
      <c r="AA52" t="s">
        <v>66</v>
      </c>
      <c r="AB52" t="s">
        <v>56</v>
      </c>
      <c r="AC52" t="s">
        <v>57</v>
      </c>
      <c r="AD52" t="str">
        <f t="shared" si="0"/>
        <v>CONFLICTO</v>
      </c>
    </row>
    <row r="53" spans="1:30">
      <c r="A53" t="s">
        <v>238</v>
      </c>
      <c r="B53" s="15">
        <v>46227</v>
      </c>
      <c r="C53" t="s">
        <v>93</v>
      </c>
      <c r="D53">
        <v>30</v>
      </c>
      <c r="E53" t="s">
        <v>239</v>
      </c>
      <c r="F53" t="s">
        <v>240</v>
      </c>
      <c r="G53" t="s">
        <v>48</v>
      </c>
      <c r="H53" t="s">
        <v>116</v>
      </c>
      <c r="I53" t="s">
        <v>184</v>
      </c>
      <c r="J53" t="s">
        <v>117</v>
      </c>
      <c r="K53" t="s">
        <v>165</v>
      </c>
      <c r="L53" t="s">
        <v>53</v>
      </c>
      <c r="M53" t="s">
        <v>54</v>
      </c>
      <c r="N53" s="16">
        <v>46227.3166666667</v>
      </c>
      <c r="O53" s="16">
        <v>46227.3333333333</v>
      </c>
      <c r="P53" s="16">
        <v>46227.5416666667</v>
      </c>
      <c r="Q53" s="16">
        <v>46227.5625</v>
      </c>
      <c r="R53" s="16">
        <v>46227.5729166667</v>
      </c>
      <c r="S53" s="16">
        <v>46227.5895833333</v>
      </c>
      <c r="T53" s="16">
        <v>46227.6145833333</v>
      </c>
      <c r="U53" s="11">
        <v>4.1</v>
      </c>
      <c r="V53" s="11">
        <v>5</v>
      </c>
      <c r="W53" s="11">
        <v>5</v>
      </c>
      <c r="X53" s="11">
        <v>0</v>
      </c>
      <c r="Y53" s="11">
        <v>8</v>
      </c>
      <c r="Z53" s="12">
        <v>0.625</v>
      </c>
      <c r="AA53" t="s">
        <v>55</v>
      </c>
      <c r="AB53" t="s">
        <v>56</v>
      </c>
      <c r="AC53" t="s">
        <v>57</v>
      </c>
      <c r="AD53" t="str">
        <f t="shared" si="0"/>
        <v>CONFLICTO</v>
      </c>
    </row>
    <row r="54" spans="1:30">
      <c r="A54" t="s">
        <v>241</v>
      </c>
      <c r="B54" s="15">
        <v>46216</v>
      </c>
      <c r="C54" t="s">
        <v>45</v>
      </c>
      <c r="D54">
        <v>29</v>
      </c>
      <c r="E54" t="s">
        <v>242</v>
      </c>
      <c r="F54" t="s">
        <v>243</v>
      </c>
      <c r="G54" t="s">
        <v>48</v>
      </c>
      <c r="H54" t="s">
        <v>96</v>
      </c>
      <c r="I54" t="s">
        <v>50</v>
      </c>
      <c r="J54" t="s">
        <v>63</v>
      </c>
      <c r="K54" t="s">
        <v>165</v>
      </c>
      <c r="L54" t="s">
        <v>64</v>
      </c>
      <c r="M54" t="s">
        <v>65</v>
      </c>
      <c r="N54" s="16">
        <v>46216.4</v>
      </c>
      <c r="O54" s="16">
        <v>46216.4166666667</v>
      </c>
      <c r="P54" s="16">
        <v>46216.6716666667</v>
      </c>
      <c r="Q54" s="16">
        <v>46216.6925</v>
      </c>
      <c r="R54" s="16">
        <v>46216.7029166667</v>
      </c>
      <c r="S54" s="16">
        <v>46216.7195833333</v>
      </c>
      <c r="T54" s="16">
        <v>46216.7445833333</v>
      </c>
      <c r="U54" s="11">
        <v>4.2</v>
      </c>
      <c r="V54" s="11">
        <v>5.12</v>
      </c>
      <c r="W54" s="11">
        <v>5.12</v>
      </c>
      <c r="X54" s="11">
        <v>0</v>
      </c>
      <c r="Y54" s="11">
        <v>8</v>
      </c>
      <c r="Z54" s="12">
        <v>0.64</v>
      </c>
      <c r="AA54" t="s">
        <v>55</v>
      </c>
      <c r="AB54" t="s">
        <v>56</v>
      </c>
      <c r="AC54" t="s">
        <v>57</v>
      </c>
      <c r="AD54" t="str">
        <f t="shared" si="0"/>
        <v>CONFLICTO</v>
      </c>
    </row>
    <row r="55" spans="1:30">
      <c r="A55" t="s">
        <v>244</v>
      </c>
      <c r="B55" s="15">
        <v>46219</v>
      </c>
      <c r="C55" t="s">
        <v>107</v>
      </c>
      <c r="D55">
        <v>29</v>
      </c>
      <c r="E55" t="s">
        <v>245</v>
      </c>
      <c r="F55" t="s">
        <v>246</v>
      </c>
      <c r="G55" t="s">
        <v>48</v>
      </c>
      <c r="H55" t="s">
        <v>121</v>
      </c>
      <c r="I55" t="s">
        <v>194</v>
      </c>
      <c r="J55" t="s">
        <v>63</v>
      </c>
      <c r="K55" t="s">
        <v>165</v>
      </c>
      <c r="L55" t="s">
        <v>53</v>
      </c>
      <c r="M55" t="s">
        <v>73</v>
      </c>
      <c r="N55" s="16">
        <v>46219.5666666667</v>
      </c>
      <c r="O55" s="16">
        <v>46219.5833333333</v>
      </c>
      <c r="P55" s="16">
        <v>46219.6391666667</v>
      </c>
      <c r="Q55" s="16">
        <v>46219.66</v>
      </c>
      <c r="R55" s="16">
        <v>46219.6704166667</v>
      </c>
      <c r="S55" s="16">
        <v>46219.6870833333</v>
      </c>
      <c r="T55" s="16">
        <v>46219.7120833333</v>
      </c>
      <c r="U55" s="11">
        <v>1.1</v>
      </c>
      <c r="V55" s="11">
        <v>1.34</v>
      </c>
      <c r="W55" s="11">
        <v>1.34</v>
      </c>
      <c r="X55" s="11">
        <v>0</v>
      </c>
      <c r="Y55" s="11">
        <v>8</v>
      </c>
      <c r="Z55" s="12">
        <v>0.1675</v>
      </c>
      <c r="AA55" t="s">
        <v>66</v>
      </c>
      <c r="AB55" t="s">
        <v>56</v>
      </c>
      <c r="AC55" t="s">
        <v>57</v>
      </c>
      <c r="AD55" t="str">
        <f t="shared" si="0"/>
        <v>CONFLICTO</v>
      </c>
    </row>
    <row r="56" spans="1:30">
      <c r="A56" t="s">
        <v>247</v>
      </c>
      <c r="B56" s="15">
        <v>46227</v>
      </c>
      <c r="C56" t="s">
        <v>93</v>
      </c>
      <c r="D56">
        <v>30</v>
      </c>
      <c r="E56" t="s">
        <v>248</v>
      </c>
      <c r="F56" t="s">
        <v>249</v>
      </c>
      <c r="G56" t="s">
        <v>48</v>
      </c>
      <c r="H56" t="s">
        <v>61</v>
      </c>
      <c r="I56" t="s">
        <v>50</v>
      </c>
      <c r="J56" t="s">
        <v>63</v>
      </c>
      <c r="K56" t="s">
        <v>169</v>
      </c>
      <c r="L56" t="s">
        <v>64</v>
      </c>
      <c r="M56" t="s">
        <v>79</v>
      </c>
      <c r="N56" s="16">
        <v>46227.6291666667</v>
      </c>
      <c r="O56" s="16">
        <v>46227.6458333333</v>
      </c>
      <c r="P56" s="16">
        <v>46227.8591666667</v>
      </c>
      <c r="Q56" s="16">
        <v>46227.88</v>
      </c>
      <c r="R56" s="16">
        <v>46227.8904166667</v>
      </c>
      <c r="S56" s="16">
        <v>46227.9070833333</v>
      </c>
      <c r="T56" s="16">
        <v>46227.9320833333</v>
      </c>
      <c r="U56" s="11">
        <v>4.2</v>
      </c>
      <c r="V56" s="11">
        <v>5.12</v>
      </c>
      <c r="W56" s="11">
        <v>2.12</v>
      </c>
      <c r="X56" s="11">
        <v>3</v>
      </c>
      <c r="Y56" s="11">
        <v>8</v>
      </c>
      <c r="Z56" s="12">
        <v>0.64</v>
      </c>
      <c r="AA56" t="s">
        <v>55</v>
      </c>
      <c r="AB56" t="s">
        <v>56</v>
      </c>
      <c r="AC56" t="s">
        <v>57</v>
      </c>
      <c r="AD56" t="str">
        <f t="shared" si="0"/>
        <v>CONFLICTO</v>
      </c>
    </row>
    <row r="57" spans="1:30">
      <c r="A57" t="s">
        <v>250</v>
      </c>
      <c r="B57" s="15">
        <v>46227</v>
      </c>
      <c r="C57" t="s">
        <v>93</v>
      </c>
      <c r="D57">
        <v>30</v>
      </c>
      <c r="E57" t="s">
        <v>251</v>
      </c>
      <c r="F57" t="s">
        <v>252</v>
      </c>
      <c r="G57" t="s">
        <v>48</v>
      </c>
      <c r="H57" t="s">
        <v>121</v>
      </c>
      <c r="I57" t="s">
        <v>194</v>
      </c>
      <c r="J57" t="s">
        <v>63</v>
      </c>
      <c r="K57" t="s">
        <v>52</v>
      </c>
      <c r="L57" t="s">
        <v>53</v>
      </c>
      <c r="M57" t="s">
        <v>86</v>
      </c>
      <c r="N57" s="16">
        <v>46227.3166666667</v>
      </c>
      <c r="O57" s="16">
        <v>46227.3333333333</v>
      </c>
      <c r="P57" s="16">
        <v>46227.3891666667</v>
      </c>
      <c r="Q57" s="16">
        <v>46227.41</v>
      </c>
      <c r="R57" s="16">
        <v>46227.4204166667</v>
      </c>
      <c r="S57" s="16">
        <v>46227.4370833333</v>
      </c>
      <c r="T57" s="16">
        <v>46227.4620833333</v>
      </c>
      <c r="U57" s="11">
        <v>1.1</v>
      </c>
      <c r="V57" s="11">
        <v>1.34</v>
      </c>
      <c r="W57" s="11">
        <v>1.34</v>
      </c>
      <c r="X57" s="11">
        <v>0</v>
      </c>
      <c r="Y57" s="11">
        <v>8</v>
      </c>
      <c r="Z57" s="12">
        <v>0.1675</v>
      </c>
      <c r="AA57" t="s">
        <v>66</v>
      </c>
      <c r="AB57" t="s">
        <v>56</v>
      </c>
      <c r="AC57" t="s">
        <v>57</v>
      </c>
      <c r="AD57" t="str">
        <f t="shared" si="0"/>
        <v>CONFLICTO</v>
      </c>
    </row>
    <row r="58" spans="1:30">
      <c r="A58" t="s">
        <v>253</v>
      </c>
      <c r="B58" s="15">
        <v>46217</v>
      </c>
      <c r="C58" t="s">
        <v>88</v>
      </c>
      <c r="D58">
        <v>29</v>
      </c>
      <c r="E58" t="s">
        <v>254</v>
      </c>
      <c r="F58" t="s">
        <v>255</v>
      </c>
      <c r="G58" t="s">
        <v>48</v>
      </c>
      <c r="H58" t="s">
        <v>256</v>
      </c>
      <c r="I58" t="s">
        <v>184</v>
      </c>
      <c r="J58" t="s">
        <v>51</v>
      </c>
      <c r="K58" t="s">
        <v>105</v>
      </c>
      <c r="L58" t="s">
        <v>64</v>
      </c>
      <c r="M58" t="s">
        <v>91</v>
      </c>
      <c r="N58" s="16">
        <v>46217.4</v>
      </c>
      <c r="O58" s="16">
        <v>46217.4166666667</v>
      </c>
      <c r="P58" s="16">
        <v>46217.6666666667</v>
      </c>
      <c r="Q58" s="16">
        <v>46217.6875</v>
      </c>
      <c r="R58" s="16">
        <v>46217.6979166667</v>
      </c>
      <c r="S58" s="16">
        <v>46217.7145833333</v>
      </c>
      <c r="T58" s="16">
        <v>46217.7395833333</v>
      </c>
      <c r="U58" s="11">
        <v>4.1</v>
      </c>
      <c r="V58" s="11">
        <v>5</v>
      </c>
      <c r="W58" s="11">
        <v>5</v>
      </c>
      <c r="X58" s="11">
        <v>0</v>
      </c>
      <c r="Y58" s="11">
        <v>8</v>
      </c>
      <c r="Z58" s="12">
        <v>0.625</v>
      </c>
      <c r="AA58" t="s">
        <v>55</v>
      </c>
      <c r="AB58" t="s">
        <v>56</v>
      </c>
      <c r="AC58" t="s">
        <v>57</v>
      </c>
      <c r="AD58" t="str">
        <f t="shared" si="0"/>
        <v>CONFLICTO</v>
      </c>
    </row>
    <row r="59" spans="1:30">
      <c r="A59" t="s">
        <v>257</v>
      </c>
      <c r="B59" s="15">
        <v>46216</v>
      </c>
      <c r="C59" t="s">
        <v>45</v>
      </c>
      <c r="D59">
        <v>29</v>
      </c>
      <c r="E59" t="s">
        <v>258</v>
      </c>
      <c r="F59" t="s">
        <v>259</v>
      </c>
      <c r="G59" t="s">
        <v>48</v>
      </c>
      <c r="H59" t="s">
        <v>83</v>
      </c>
      <c r="I59" t="s">
        <v>122</v>
      </c>
      <c r="J59" t="s">
        <v>63</v>
      </c>
      <c r="K59" t="s">
        <v>169</v>
      </c>
      <c r="L59" t="s">
        <v>53</v>
      </c>
      <c r="M59" t="s">
        <v>54</v>
      </c>
      <c r="N59" s="16">
        <v>46216.5666666667</v>
      </c>
      <c r="O59" s="16">
        <v>46216.5833333333</v>
      </c>
      <c r="P59" s="16">
        <v>46216.7816666667</v>
      </c>
      <c r="Q59" s="16">
        <v>46216.8025</v>
      </c>
      <c r="R59" s="16">
        <v>46216.8129166667</v>
      </c>
      <c r="S59" s="16">
        <v>46216.8295833333</v>
      </c>
      <c r="T59" s="16">
        <v>46216.8545833333</v>
      </c>
      <c r="U59" s="11">
        <v>3.9</v>
      </c>
      <c r="V59" s="11">
        <v>4.76</v>
      </c>
      <c r="W59" s="11">
        <v>3.5</v>
      </c>
      <c r="X59" s="11">
        <v>1.26</v>
      </c>
      <c r="Y59" s="11">
        <v>8</v>
      </c>
      <c r="Z59" s="12">
        <v>0.595</v>
      </c>
      <c r="AA59" t="s">
        <v>66</v>
      </c>
      <c r="AB59" t="s">
        <v>56</v>
      </c>
      <c r="AC59" t="s">
        <v>57</v>
      </c>
      <c r="AD59" t="str">
        <f t="shared" si="0"/>
        <v>CONFLICTO</v>
      </c>
    </row>
    <row r="60" spans="1:30">
      <c r="A60" t="s">
        <v>260</v>
      </c>
      <c r="B60" s="15">
        <v>46226</v>
      </c>
      <c r="C60" t="s">
        <v>107</v>
      </c>
      <c r="D60">
        <v>30</v>
      </c>
      <c r="E60" t="s">
        <v>261</v>
      </c>
      <c r="F60" t="s">
        <v>262</v>
      </c>
      <c r="G60" t="s">
        <v>48</v>
      </c>
      <c r="H60" t="s">
        <v>173</v>
      </c>
      <c r="I60" t="s">
        <v>184</v>
      </c>
      <c r="J60" t="s">
        <v>63</v>
      </c>
      <c r="K60" t="s">
        <v>165</v>
      </c>
      <c r="L60" t="s">
        <v>64</v>
      </c>
      <c r="M60" t="s">
        <v>65</v>
      </c>
      <c r="N60" s="16">
        <v>46226.6291666667</v>
      </c>
      <c r="O60" s="16">
        <v>46226.6458333333</v>
      </c>
      <c r="P60" s="16">
        <v>46226.8541666667</v>
      </c>
      <c r="Q60" s="16">
        <v>46226.875</v>
      </c>
      <c r="R60" s="16">
        <v>46226.8854166667</v>
      </c>
      <c r="S60" s="16">
        <v>46226.9020833333</v>
      </c>
      <c r="T60" s="16">
        <v>46226.9270833333</v>
      </c>
      <c r="U60" s="11">
        <v>4.1</v>
      </c>
      <c r="V60" s="11">
        <v>5</v>
      </c>
      <c r="W60" s="11">
        <v>2</v>
      </c>
      <c r="X60" s="11">
        <v>3</v>
      </c>
      <c r="Y60" s="11">
        <v>8</v>
      </c>
      <c r="Z60" s="12">
        <v>0.625</v>
      </c>
      <c r="AA60" t="s">
        <v>55</v>
      </c>
      <c r="AB60" t="s">
        <v>56</v>
      </c>
      <c r="AC60" t="s">
        <v>57</v>
      </c>
      <c r="AD60" t="str">
        <f t="shared" si="0"/>
        <v>OK</v>
      </c>
    </row>
    <row r="61" spans="1:30">
      <c r="A61" t="s">
        <v>263</v>
      </c>
      <c r="B61" s="15">
        <v>46217</v>
      </c>
      <c r="C61" t="s">
        <v>88</v>
      </c>
      <c r="D61">
        <v>29</v>
      </c>
      <c r="E61" t="s">
        <v>264</v>
      </c>
      <c r="F61" t="s">
        <v>265</v>
      </c>
      <c r="G61" t="s">
        <v>48</v>
      </c>
      <c r="H61" t="s">
        <v>61</v>
      </c>
      <c r="I61" t="s">
        <v>194</v>
      </c>
      <c r="J61" t="s">
        <v>117</v>
      </c>
      <c r="K61" t="s">
        <v>141</v>
      </c>
      <c r="L61" t="s">
        <v>53</v>
      </c>
      <c r="M61" t="s">
        <v>73</v>
      </c>
      <c r="N61" s="16">
        <v>46217.3166666667</v>
      </c>
      <c r="O61" s="16">
        <v>46217.3333333333</v>
      </c>
      <c r="P61" s="16">
        <v>46217.3891666667</v>
      </c>
      <c r="Q61" s="16">
        <v>46217.41</v>
      </c>
      <c r="R61" s="16">
        <v>46217.4204166667</v>
      </c>
      <c r="S61" s="16">
        <v>46217.4370833333</v>
      </c>
      <c r="T61" s="16">
        <v>46217.4620833333</v>
      </c>
      <c r="U61" s="11">
        <v>1.1</v>
      </c>
      <c r="V61" s="11">
        <v>1.34</v>
      </c>
      <c r="W61" s="11">
        <v>1.34</v>
      </c>
      <c r="X61" s="11">
        <v>0</v>
      </c>
      <c r="Y61" s="11">
        <v>8</v>
      </c>
      <c r="Z61" s="12">
        <v>0.1675</v>
      </c>
      <c r="AA61" t="s">
        <v>66</v>
      </c>
      <c r="AB61" t="s">
        <v>56</v>
      </c>
      <c r="AC61" t="s">
        <v>57</v>
      </c>
      <c r="AD61" t="str">
        <f t="shared" si="0"/>
        <v>CONFLICTO</v>
      </c>
    </row>
    <row r="62" spans="1:30">
      <c r="A62" t="s">
        <v>266</v>
      </c>
      <c r="B62" s="15">
        <v>46218</v>
      </c>
      <c r="C62" t="s">
        <v>68</v>
      </c>
      <c r="D62">
        <v>29</v>
      </c>
      <c r="E62" t="s">
        <v>267</v>
      </c>
      <c r="F62" t="s">
        <v>268</v>
      </c>
      <c r="G62" t="s">
        <v>48</v>
      </c>
      <c r="H62" t="s">
        <v>154</v>
      </c>
      <c r="I62" t="s">
        <v>62</v>
      </c>
      <c r="J62" t="s">
        <v>63</v>
      </c>
      <c r="K62" t="s">
        <v>141</v>
      </c>
      <c r="L62" t="s">
        <v>64</v>
      </c>
      <c r="M62" t="s">
        <v>79</v>
      </c>
      <c r="N62" s="16">
        <v>46218.4</v>
      </c>
      <c r="O62" s="16">
        <v>46218.4166666667</v>
      </c>
      <c r="P62" s="16">
        <v>46218.4495833333</v>
      </c>
      <c r="Q62" s="16">
        <v>46218.4704166667</v>
      </c>
      <c r="R62" s="16">
        <v>46218.4808333333</v>
      </c>
      <c r="S62" s="16">
        <v>46218.4975</v>
      </c>
      <c r="T62" s="16">
        <v>46218.5225</v>
      </c>
      <c r="U62" s="11">
        <v>0.65</v>
      </c>
      <c r="V62" s="11">
        <v>0.79</v>
      </c>
      <c r="W62" s="11">
        <v>0.79</v>
      </c>
      <c r="X62" s="11">
        <v>0</v>
      </c>
      <c r="Y62" s="11">
        <v>8</v>
      </c>
      <c r="Z62" s="12">
        <v>0.0988</v>
      </c>
      <c r="AA62" t="s">
        <v>66</v>
      </c>
      <c r="AB62" t="s">
        <v>56</v>
      </c>
      <c r="AC62" t="s">
        <v>57</v>
      </c>
      <c r="AD62" t="str">
        <f t="shared" si="0"/>
        <v>OK</v>
      </c>
    </row>
    <row r="63" spans="1:30">
      <c r="A63" t="s">
        <v>269</v>
      </c>
      <c r="B63" s="15">
        <v>46218</v>
      </c>
      <c r="C63" t="s">
        <v>68</v>
      </c>
      <c r="D63">
        <v>29</v>
      </c>
      <c r="E63" t="s">
        <v>270</v>
      </c>
      <c r="F63" t="s">
        <v>271</v>
      </c>
      <c r="G63" t="s">
        <v>48</v>
      </c>
      <c r="H63" t="s">
        <v>100</v>
      </c>
      <c r="I63" t="s">
        <v>72</v>
      </c>
      <c r="J63" t="s">
        <v>85</v>
      </c>
      <c r="K63" t="s">
        <v>165</v>
      </c>
      <c r="L63" t="s">
        <v>53</v>
      </c>
      <c r="M63" t="s">
        <v>86</v>
      </c>
      <c r="N63" s="16">
        <v>46218.5666666667</v>
      </c>
      <c r="O63" s="16">
        <v>46218.5833333333</v>
      </c>
      <c r="P63" s="16">
        <v>46218.61125</v>
      </c>
      <c r="Q63" s="16">
        <v>46218.6320833333</v>
      </c>
      <c r="R63" s="16">
        <v>46218.6425</v>
      </c>
      <c r="S63" s="16">
        <v>46218.6591666667</v>
      </c>
      <c r="T63" s="16">
        <v>46218.6841666667</v>
      </c>
      <c r="U63" s="11">
        <v>0.55</v>
      </c>
      <c r="V63" s="11">
        <v>0.67</v>
      </c>
      <c r="W63" s="11">
        <v>0.67</v>
      </c>
      <c r="X63" s="11">
        <v>0</v>
      </c>
      <c r="Y63" s="11">
        <v>8</v>
      </c>
      <c r="Z63" s="12">
        <v>0.0838</v>
      </c>
      <c r="AA63" t="s">
        <v>66</v>
      </c>
      <c r="AB63" t="s">
        <v>56</v>
      </c>
      <c r="AC63" t="s">
        <v>57</v>
      </c>
      <c r="AD63" t="str">
        <f t="shared" si="0"/>
        <v>CONFLICTO</v>
      </c>
    </row>
    <row r="64" spans="1:30">
      <c r="A64" t="s">
        <v>272</v>
      </c>
      <c r="B64" s="15">
        <v>46217</v>
      </c>
      <c r="C64" t="s">
        <v>88</v>
      </c>
      <c r="D64">
        <v>29</v>
      </c>
      <c r="E64" t="s">
        <v>273</v>
      </c>
      <c r="F64" t="s">
        <v>274</v>
      </c>
      <c r="G64" t="s">
        <v>48</v>
      </c>
      <c r="H64" t="s">
        <v>71</v>
      </c>
      <c r="I64" t="s">
        <v>84</v>
      </c>
      <c r="J64" t="s">
        <v>85</v>
      </c>
      <c r="K64" t="s">
        <v>165</v>
      </c>
      <c r="L64" t="s">
        <v>64</v>
      </c>
      <c r="M64" t="s">
        <v>91</v>
      </c>
      <c r="N64" s="16">
        <v>46217.6291666667</v>
      </c>
      <c r="O64" s="16">
        <v>46217.6458333333</v>
      </c>
      <c r="P64" s="16">
        <v>46217.8745833333</v>
      </c>
      <c r="Q64" s="16">
        <v>46217.8954166667</v>
      </c>
      <c r="R64" s="16">
        <v>46217.9058333333</v>
      </c>
      <c r="S64" s="16">
        <v>46217.9225</v>
      </c>
      <c r="T64" s="16">
        <v>46217.9475</v>
      </c>
      <c r="U64" s="11">
        <v>4.5</v>
      </c>
      <c r="V64" s="11">
        <v>5.49</v>
      </c>
      <c r="W64" s="11">
        <v>2.49</v>
      </c>
      <c r="X64" s="11">
        <v>3</v>
      </c>
      <c r="Y64" s="11">
        <v>8</v>
      </c>
      <c r="Z64" s="12">
        <v>0.6863</v>
      </c>
      <c r="AA64" t="s">
        <v>55</v>
      </c>
      <c r="AB64" t="s">
        <v>56</v>
      </c>
      <c r="AC64" t="s">
        <v>57</v>
      </c>
      <c r="AD64" t="str">
        <f t="shared" si="0"/>
        <v>OK</v>
      </c>
    </row>
    <row r="65" spans="1:30">
      <c r="A65" t="s">
        <v>275</v>
      </c>
      <c r="B65" s="15">
        <v>46223</v>
      </c>
      <c r="C65" t="s">
        <v>45</v>
      </c>
      <c r="D65">
        <v>30</v>
      </c>
      <c r="E65" t="s">
        <v>276</v>
      </c>
      <c r="F65" t="s">
        <v>277</v>
      </c>
      <c r="G65" t="s">
        <v>48</v>
      </c>
      <c r="H65" t="s">
        <v>256</v>
      </c>
      <c r="I65" t="s">
        <v>158</v>
      </c>
      <c r="J65" t="s">
        <v>51</v>
      </c>
      <c r="K65" t="s">
        <v>141</v>
      </c>
      <c r="L65" t="s">
        <v>53</v>
      </c>
      <c r="M65" t="s">
        <v>54</v>
      </c>
      <c r="N65" s="16">
        <v>46223.3166666667</v>
      </c>
      <c r="O65" s="16">
        <v>46223.3333333333</v>
      </c>
      <c r="P65" s="16">
        <v>46223.3766666667</v>
      </c>
      <c r="Q65" s="16">
        <v>46223.3975</v>
      </c>
      <c r="R65" s="16">
        <v>46223.4079166667</v>
      </c>
      <c r="S65" s="16">
        <v>46223.4245833333</v>
      </c>
      <c r="T65" s="16">
        <v>46223.4495833333</v>
      </c>
      <c r="U65" s="11">
        <v>0.85</v>
      </c>
      <c r="V65" s="11">
        <v>1.04</v>
      </c>
      <c r="W65" s="11">
        <v>1.04</v>
      </c>
      <c r="X65" s="11">
        <v>0</v>
      </c>
      <c r="Y65" s="11">
        <v>8</v>
      </c>
      <c r="Z65" s="12">
        <v>0.13</v>
      </c>
      <c r="AA65" t="s">
        <v>66</v>
      </c>
      <c r="AB65" t="s">
        <v>56</v>
      </c>
      <c r="AC65" t="s">
        <v>57</v>
      </c>
      <c r="AD65" t="str">
        <f t="shared" si="0"/>
        <v>OK</v>
      </c>
    </row>
    <row r="66" spans="1:30">
      <c r="A66" t="s">
        <v>278</v>
      </c>
      <c r="B66" s="15">
        <v>46227</v>
      </c>
      <c r="C66" t="s">
        <v>93</v>
      </c>
      <c r="D66">
        <v>30</v>
      </c>
      <c r="E66" t="s">
        <v>279</v>
      </c>
      <c r="F66" t="s">
        <v>280</v>
      </c>
      <c r="G66" t="s">
        <v>48</v>
      </c>
      <c r="H66" t="s">
        <v>281</v>
      </c>
      <c r="I66" t="s">
        <v>50</v>
      </c>
      <c r="J66" t="s">
        <v>63</v>
      </c>
      <c r="K66" t="s">
        <v>78</v>
      </c>
      <c r="L66" t="s">
        <v>64</v>
      </c>
      <c r="M66" t="s">
        <v>65</v>
      </c>
      <c r="N66" s="16">
        <v>46227.4</v>
      </c>
      <c r="O66" s="16">
        <v>46227.4166666667</v>
      </c>
      <c r="P66" s="16">
        <v>46227.6716666667</v>
      </c>
      <c r="Q66" s="16">
        <v>46227.6925</v>
      </c>
      <c r="R66" s="16">
        <v>46227.7029166667</v>
      </c>
      <c r="S66" s="16">
        <v>46227.7195833333</v>
      </c>
      <c r="T66" s="16">
        <v>46227.7445833333</v>
      </c>
      <c r="U66" s="11">
        <v>4.2</v>
      </c>
      <c r="V66" s="11">
        <v>5.12</v>
      </c>
      <c r="W66" s="11">
        <v>5.12</v>
      </c>
      <c r="X66" s="11">
        <v>0</v>
      </c>
      <c r="Y66" s="11">
        <v>8</v>
      </c>
      <c r="Z66" s="12">
        <v>0.64</v>
      </c>
      <c r="AA66" t="s">
        <v>55</v>
      </c>
      <c r="AB66" t="s">
        <v>56</v>
      </c>
      <c r="AC66" t="s">
        <v>57</v>
      </c>
      <c r="AD66" t="str">
        <f t="shared" si="0"/>
        <v>CONFLICTO</v>
      </c>
    </row>
    <row r="67" spans="1:30">
      <c r="A67" t="s">
        <v>282</v>
      </c>
      <c r="B67" s="15">
        <v>46223</v>
      </c>
      <c r="C67" t="s">
        <v>45</v>
      </c>
      <c r="D67">
        <v>30</v>
      </c>
      <c r="E67" t="s">
        <v>283</v>
      </c>
      <c r="F67" t="s">
        <v>284</v>
      </c>
      <c r="G67" t="s">
        <v>48</v>
      </c>
      <c r="H67" t="s">
        <v>121</v>
      </c>
      <c r="I67" t="s">
        <v>101</v>
      </c>
      <c r="J67" t="s">
        <v>85</v>
      </c>
      <c r="K67" t="s">
        <v>165</v>
      </c>
      <c r="L67" t="s">
        <v>53</v>
      </c>
      <c r="M67" t="s">
        <v>73</v>
      </c>
      <c r="N67" s="16">
        <v>46223.5666666667</v>
      </c>
      <c r="O67" s="16">
        <v>46223.5833333333</v>
      </c>
      <c r="P67" s="16">
        <v>46223.61875</v>
      </c>
      <c r="Q67" s="16">
        <v>46223.6395833333</v>
      </c>
      <c r="R67" s="16">
        <v>46223.65</v>
      </c>
      <c r="S67" s="16">
        <v>46223.6666666667</v>
      </c>
      <c r="T67" s="16">
        <v>46223.6916666667</v>
      </c>
      <c r="U67" s="11">
        <v>0.7</v>
      </c>
      <c r="V67" s="11">
        <v>0.85</v>
      </c>
      <c r="W67" s="11">
        <v>0.85</v>
      </c>
      <c r="X67" s="11">
        <v>0</v>
      </c>
      <c r="Y67" s="11">
        <v>8</v>
      </c>
      <c r="Z67" s="12">
        <v>0.1062</v>
      </c>
      <c r="AA67" t="s">
        <v>66</v>
      </c>
      <c r="AB67" t="s">
        <v>56</v>
      </c>
      <c r="AC67" t="s">
        <v>57</v>
      </c>
      <c r="AD67" t="str">
        <f t="shared" si="0"/>
        <v>CONFLICTO</v>
      </c>
    </row>
    <row r="68" spans="1:30">
      <c r="A68" t="s">
        <v>285</v>
      </c>
      <c r="B68" s="15">
        <v>46218</v>
      </c>
      <c r="C68" t="s">
        <v>68</v>
      </c>
      <c r="D68">
        <v>29</v>
      </c>
      <c r="E68" t="s">
        <v>286</v>
      </c>
      <c r="F68" t="s">
        <v>287</v>
      </c>
      <c r="G68" t="s">
        <v>48</v>
      </c>
      <c r="H68" t="s">
        <v>154</v>
      </c>
      <c r="I68" t="s">
        <v>122</v>
      </c>
      <c r="J68" t="s">
        <v>117</v>
      </c>
      <c r="K68" t="s">
        <v>169</v>
      </c>
      <c r="L68" t="s">
        <v>64</v>
      </c>
      <c r="M68" t="s">
        <v>79</v>
      </c>
      <c r="N68" s="16">
        <v>46218.6291666667</v>
      </c>
      <c r="O68" s="16">
        <v>46218.6458333333</v>
      </c>
      <c r="P68" s="16">
        <v>46218.8441666667</v>
      </c>
      <c r="Q68" s="16">
        <v>46218.865</v>
      </c>
      <c r="R68" s="16">
        <v>46218.8754166667</v>
      </c>
      <c r="S68" s="16">
        <v>46218.8920833333</v>
      </c>
      <c r="T68" s="16">
        <v>46218.9170833333</v>
      </c>
      <c r="U68" s="11">
        <v>3.9</v>
      </c>
      <c r="V68" s="11">
        <v>4.76</v>
      </c>
      <c r="W68" s="11">
        <v>2</v>
      </c>
      <c r="X68" s="11">
        <v>2.76</v>
      </c>
      <c r="Y68" s="11">
        <v>8</v>
      </c>
      <c r="Z68" s="12">
        <v>0.595</v>
      </c>
      <c r="AA68" t="s">
        <v>66</v>
      </c>
      <c r="AB68" t="s">
        <v>56</v>
      </c>
      <c r="AC68" t="s">
        <v>57</v>
      </c>
      <c r="AD68" t="str">
        <f t="shared" si="0"/>
        <v>OK</v>
      </c>
    </row>
    <row r="69" spans="1:30">
      <c r="A69" t="s">
        <v>288</v>
      </c>
      <c r="B69" s="15">
        <v>46227</v>
      </c>
      <c r="C69" t="s">
        <v>93</v>
      </c>
      <c r="D69">
        <v>30</v>
      </c>
      <c r="E69" t="s">
        <v>289</v>
      </c>
      <c r="F69" t="s">
        <v>290</v>
      </c>
      <c r="G69" t="s">
        <v>48</v>
      </c>
      <c r="H69" t="s">
        <v>49</v>
      </c>
      <c r="I69" t="s">
        <v>122</v>
      </c>
      <c r="J69" t="s">
        <v>85</v>
      </c>
      <c r="K69" t="s">
        <v>141</v>
      </c>
      <c r="L69" t="s">
        <v>53</v>
      </c>
      <c r="M69" t="s">
        <v>86</v>
      </c>
      <c r="N69" s="16">
        <v>46227.3166666667</v>
      </c>
      <c r="O69" s="16">
        <v>46227.3333333333</v>
      </c>
      <c r="P69" s="16">
        <v>46227.5316666667</v>
      </c>
      <c r="Q69" s="16">
        <v>46227.5525</v>
      </c>
      <c r="R69" s="16">
        <v>46227.5629166667</v>
      </c>
      <c r="S69" s="16">
        <v>46227.5795833333</v>
      </c>
      <c r="T69" s="16">
        <v>46227.6045833333</v>
      </c>
      <c r="U69" s="11">
        <v>3.9</v>
      </c>
      <c r="V69" s="11">
        <v>4.76</v>
      </c>
      <c r="W69" s="11">
        <v>4.76</v>
      </c>
      <c r="X69" s="11">
        <v>0</v>
      </c>
      <c r="Y69" s="11">
        <v>8</v>
      </c>
      <c r="Z69" s="12">
        <v>0.595</v>
      </c>
      <c r="AA69" t="s">
        <v>66</v>
      </c>
      <c r="AB69" t="s">
        <v>56</v>
      </c>
      <c r="AC69" t="s">
        <v>57</v>
      </c>
      <c r="AD69" t="str">
        <f t="shared" ref="AD69:AD132" si="1">IF(COUNTIFS($B$5:$B$234,B69,$K$5:$K$234,K69,$O$5:$O$234,"&lt;"&amp;P69,$P$5:$P$234,"&gt;"&amp;O69)&gt;1,"CONFLICTO","OK")</f>
        <v>CONFLICTO</v>
      </c>
    </row>
    <row r="70" spans="1:30">
      <c r="A70" t="s">
        <v>291</v>
      </c>
      <c r="B70" s="15">
        <v>46220</v>
      </c>
      <c r="C70" t="s">
        <v>93</v>
      </c>
      <c r="D70">
        <v>29</v>
      </c>
      <c r="E70" t="s">
        <v>292</v>
      </c>
      <c r="F70" t="s">
        <v>293</v>
      </c>
      <c r="G70" t="s">
        <v>48</v>
      </c>
      <c r="H70" t="s">
        <v>121</v>
      </c>
      <c r="I70" t="s">
        <v>101</v>
      </c>
      <c r="J70" t="s">
        <v>51</v>
      </c>
      <c r="K70" t="s">
        <v>141</v>
      </c>
      <c r="L70" t="s">
        <v>64</v>
      </c>
      <c r="M70" t="s">
        <v>91</v>
      </c>
      <c r="N70" s="16">
        <v>46220.4</v>
      </c>
      <c r="O70" s="16">
        <v>46220.4166666667</v>
      </c>
      <c r="P70" s="16">
        <v>46220.4520833333</v>
      </c>
      <c r="Q70" s="16">
        <v>46220.4729166667</v>
      </c>
      <c r="R70" s="16">
        <v>46220.4833333333</v>
      </c>
      <c r="S70" s="16">
        <v>46220.5</v>
      </c>
      <c r="T70" s="16">
        <v>46220.525</v>
      </c>
      <c r="U70" s="11">
        <v>0.7</v>
      </c>
      <c r="V70" s="11">
        <v>0.85</v>
      </c>
      <c r="W70" s="11">
        <v>0.85</v>
      </c>
      <c r="X70" s="11">
        <v>0</v>
      </c>
      <c r="Y70" s="11">
        <v>8</v>
      </c>
      <c r="Z70" s="12">
        <v>0.1062</v>
      </c>
      <c r="AA70" t="s">
        <v>66</v>
      </c>
      <c r="AB70" t="s">
        <v>56</v>
      </c>
      <c r="AC70" t="s">
        <v>57</v>
      </c>
      <c r="AD70" t="str">
        <f t="shared" si="1"/>
        <v>CONFLICTO</v>
      </c>
    </row>
    <row r="71" spans="1:30">
      <c r="A71" t="s">
        <v>294</v>
      </c>
      <c r="B71" s="15">
        <v>46230</v>
      </c>
      <c r="C71" t="s">
        <v>45</v>
      </c>
      <c r="D71">
        <v>31</v>
      </c>
      <c r="E71" t="s">
        <v>295</v>
      </c>
      <c r="F71" t="s">
        <v>296</v>
      </c>
      <c r="G71" t="s">
        <v>48</v>
      </c>
      <c r="H71" t="s">
        <v>61</v>
      </c>
      <c r="I71" t="s">
        <v>77</v>
      </c>
      <c r="J71" t="s">
        <v>297</v>
      </c>
      <c r="K71" t="s">
        <v>169</v>
      </c>
      <c r="L71" t="s">
        <v>53</v>
      </c>
      <c r="M71" t="s">
        <v>54</v>
      </c>
      <c r="N71" s="16">
        <v>46230.5666666667</v>
      </c>
      <c r="O71" s="16">
        <v>46230.5833333333</v>
      </c>
      <c r="P71" s="16">
        <v>46230.6266666667</v>
      </c>
      <c r="Q71" s="16">
        <v>46230.6475</v>
      </c>
      <c r="R71" s="16">
        <v>46230.6579166667</v>
      </c>
      <c r="S71" s="16">
        <v>46230.6745833333</v>
      </c>
      <c r="T71" s="16">
        <v>46230.6995833333</v>
      </c>
      <c r="U71" s="11">
        <v>0.85</v>
      </c>
      <c r="V71" s="11">
        <v>1.04</v>
      </c>
      <c r="W71" s="11">
        <v>1.04</v>
      </c>
      <c r="X71" s="11">
        <v>0</v>
      </c>
      <c r="Y71" s="11">
        <v>8</v>
      </c>
      <c r="Z71" s="12">
        <v>0.13</v>
      </c>
      <c r="AA71" t="s">
        <v>66</v>
      </c>
      <c r="AB71" t="s">
        <v>56</v>
      </c>
      <c r="AC71" t="s">
        <v>298</v>
      </c>
      <c r="AD71" t="str">
        <f t="shared" si="1"/>
        <v>CONFLICTO</v>
      </c>
    </row>
    <row r="72" spans="1:30">
      <c r="A72" t="s">
        <v>299</v>
      </c>
      <c r="B72" s="15">
        <v>46224</v>
      </c>
      <c r="C72" t="s">
        <v>88</v>
      </c>
      <c r="D72">
        <v>30</v>
      </c>
      <c r="E72" t="s">
        <v>300</v>
      </c>
      <c r="F72" t="s">
        <v>301</v>
      </c>
      <c r="G72" t="s">
        <v>48</v>
      </c>
      <c r="H72" t="s">
        <v>216</v>
      </c>
      <c r="I72" t="s">
        <v>177</v>
      </c>
      <c r="J72" t="s">
        <v>85</v>
      </c>
      <c r="K72" t="s">
        <v>78</v>
      </c>
      <c r="L72" t="s">
        <v>64</v>
      </c>
      <c r="M72" t="s">
        <v>65</v>
      </c>
      <c r="N72" s="16">
        <v>46224.6291666667</v>
      </c>
      <c r="O72" s="16">
        <v>46224.6458333333</v>
      </c>
      <c r="P72" s="16">
        <v>46224.68125</v>
      </c>
      <c r="Q72" s="16">
        <v>46224.7020833333</v>
      </c>
      <c r="R72" s="16">
        <v>46224.7125</v>
      </c>
      <c r="S72" s="16">
        <v>46224.7291666667</v>
      </c>
      <c r="T72" s="16">
        <v>46224.7541666667</v>
      </c>
      <c r="U72" s="11">
        <v>0.7</v>
      </c>
      <c r="V72" s="11">
        <v>0.85</v>
      </c>
      <c r="W72" s="11">
        <v>0.85</v>
      </c>
      <c r="X72" s="11">
        <v>0</v>
      </c>
      <c r="Y72" s="11">
        <v>8</v>
      </c>
      <c r="Z72" s="12">
        <v>0.1062</v>
      </c>
      <c r="AA72" t="s">
        <v>66</v>
      </c>
      <c r="AB72" t="s">
        <v>56</v>
      </c>
      <c r="AC72" t="s">
        <v>57</v>
      </c>
      <c r="AD72" t="str">
        <f t="shared" si="1"/>
        <v>CONFLICTO</v>
      </c>
    </row>
    <row r="73" spans="1:30">
      <c r="A73" t="s">
        <v>302</v>
      </c>
      <c r="B73" s="15">
        <v>46230</v>
      </c>
      <c r="C73" t="s">
        <v>45</v>
      </c>
      <c r="D73">
        <v>31</v>
      </c>
      <c r="E73" t="s">
        <v>303</v>
      </c>
      <c r="F73" t="s">
        <v>304</v>
      </c>
      <c r="G73" t="s">
        <v>48</v>
      </c>
      <c r="H73" t="s">
        <v>61</v>
      </c>
      <c r="I73" t="s">
        <v>184</v>
      </c>
      <c r="J73" t="s">
        <v>85</v>
      </c>
      <c r="K73" t="s">
        <v>141</v>
      </c>
      <c r="L73" t="s">
        <v>53</v>
      </c>
      <c r="M73" t="s">
        <v>73</v>
      </c>
      <c r="N73" s="16">
        <v>46230.3166666667</v>
      </c>
      <c r="O73" s="16">
        <v>46230.3333333333</v>
      </c>
      <c r="P73" s="16">
        <v>46230.5416666667</v>
      </c>
      <c r="Q73" s="16">
        <v>46230.5625</v>
      </c>
      <c r="R73" s="16">
        <v>46230.5729166667</v>
      </c>
      <c r="S73" s="16">
        <v>46230.5895833333</v>
      </c>
      <c r="T73" s="16">
        <v>46230.6145833333</v>
      </c>
      <c r="U73" s="11">
        <v>4.1</v>
      </c>
      <c r="V73" s="11">
        <v>5</v>
      </c>
      <c r="W73" s="11">
        <v>5</v>
      </c>
      <c r="X73" s="11">
        <v>0</v>
      </c>
      <c r="Y73" s="11">
        <v>8</v>
      </c>
      <c r="Z73" s="12">
        <v>0.625</v>
      </c>
      <c r="AA73" t="s">
        <v>55</v>
      </c>
      <c r="AB73" t="s">
        <v>56</v>
      </c>
      <c r="AC73" t="s">
        <v>57</v>
      </c>
      <c r="AD73" t="str">
        <f t="shared" si="1"/>
        <v>CONFLICTO</v>
      </c>
    </row>
    <row r="74" spans="1:30">
      <c r="A74" t="s">
        <v>305</v>
      </c>
      <c r="B74" s="15">
        <v>46226</v>
      </c>
      <c r="C74" t="s">
        <v>107</v>
      </c>
      <c r="D74">
        <v>30</v>
      </c>
      <c r="E74" t="s">
        <v>306</v>
      </c>
      <c r="F74" t="s">
        <v>307</v>
      </c>
      <c r="G74" t="s">
        <v>48</v>
      </c>
      <c r="H74" t="s">
        <v>116</v>
      </c>
      <c r="I74" t="s">
        <v>62</v>
      </c>
      <c r="J74" t="s">
        <v>63</v>
      </c>
      <c r="K74" t="s">
        <v>169</v>
      </c>
      <c r="L74" t="s">
        <v>64</v>
      </c>
      <c r="M74" t="s">
        <v>79</v>
      </c>
      <c r="N74" s="16">
        <v>46226.4</v>
      </c>
      <c r="O74" s="16">
        <v>46226.4166666667</v>
      </c>
      <c r="P74" s="16">
        <v>46226.4495833333</v>
      </c>
      <c r="Q74" s="16">
        <v>46226.4704166667</v>
      </c>
      <c r="R74" s="16">
        <v>46226.4808333333</v>
      </c>
      <c r="S74" s="16">
        <v>46226.4975</v>
      </c>
      <c r="T74" s="16">
        <v>46226.5225</v>
      </c>
      <c r="U74" s="11">
        <v>0.65</v>
      </c>
      <c r="V74" s="11">
        <v>0.79</v>
      </c>
      <c r="W74" s="11">
        <v>0.79</v>
      </c>
      <c r="X74" s="11">
        <v>0</v>
      </c>
      <c r="Y74" s="11">
        <v>8</v>
      </c>
      <c r="Z74" s="12">
        <v>0.0988</v>
      </c>
      <c r="AA74" t="s">
        <v>66</v>
      </c>
      <c r="AB74" t="s">
        <v>56</v>
      </c>
      <c r="AC74" t="s">
        <v>57</v>
      </c>
      <c r="AD74" t="str">
        <f t="shared" si="1"/>
        <v>CONFLICTO</v>
      </c>
    </row>
    <row r="75" spans="1:30">
      <c r="A75" t="s">
        <v>308</v>
      </c>
      <c r="B75" s="15">
        <v>46217</v>
      </c>
      <c r="C75" t="s">
        <v>88</v>
      </c>
      <c r="D75">
        <v>29</v>
      </c>
      <c r="E75" t="s">
        <v>309</v>
      </c>
      <c r="F75" t="s">
        <v>310</v>
      </c>
      <c r="G75" t="s">
        <v>48</v>
      </c>
      <c r="H75" t="s">
        <v>281</v>
      </c>
      <c r="I75" t="s">
        <v>101</v>
      </c>
      <c r="J75" t="s">
        <v>51</v>
      </c>
      <c r="K75" t="s">
        <v>169</v>
      </c>
      <c r="L75" t="s">
        <v>53</v>
      </c>
      <c r="M75" t="s">
        <v>86</v>
      </c>
      <c r="N75" s="16">
        <v>46217.5666666667</v>
      </c>
      <c r="O75" s="16">
        <v>46217.5833333333</v>
      </c>
      <c r="P75" s="16">
        <v>46217.61875</v>
      </c>
      <c r="Q75" s="16">
        <v>46217.6395833333</v>
      </c>
      <c r="R75" s="16">
        <v>46217.65</v>
      </c>
      <c r="S75" s="16">
        <v>46217.6666666667</v>
      </c>
      <c r="T75" s="16">
        <v>46217.6916666667</v>
      </c>
      <c r="U75" s="11">
        <v>0.7</v>
      </c>
      <c r="V75" s="11">
        <v>0.85</v>
      </c>
      <c r="W75" s="11">
        <v>0.85</v>
      </c>
      <c r="X75" s="11">
        <v>0</v>
      </c>
      <c r="Y75" s="11">
        <v>8</v>
      </c>
      <c r="Z75" s="12">
        <v>0.1062</v>
      </c>
      <c r="AA75" t="s">
        <v>66</v>
      </c>
      <c r="AB75" t="s">
        <v>56</v>
      </c>
      <c r="AC75" t="s">
        <v>57</v>
      </c>
      <c r="AD75" t="str">
        <f t="shared" si="1"/>
        <v>CONFLICTO</v>
      </c>
    </row>
    <row r="76" spans="1:30">
      <c r="A76" t="s">
        <v>311</v>
      </c>
      <c r="B76" s="15">
        <v>46226</v>
      </c>
      <c r="C76" t="s">
        <v>107</v>
      </c>
      <c r="D76">
        <v>30</v>
      </c>
      <c r="E76" t="s">
        <v>312</v>
      </c>
      <c r="F76" t="s">
        <v>313</v>
      </c>
      <c r="G76" t="s">
        <v>48</v>
      </c>
      <c r="H76" t="s">
        <v>116</v>
      </c>
      <c r="I76" t="s">
        <v>177</v>
      </c>
      <c r="J76" t="s">
        <v>51</v>
      </c>
      <c r="K76" t="s">
        <v>105</v>
      </c>
      <c r="L76" t="s">
        <v>64</v>
      </c>
      <c r="M76" t="s">
        <v>91</v>
      </c>
      <c r="N76" s="16">
        <v>46226.6291666667</v>
      </c>
      <c r="O76" s="16">
        <v>46226.6458333333</v>
      </c>
      <c r="P76" s="16">
        <v>46226.68125</v>
      </c>
      <c r="Q76" s="16">
        <v>46226.7020833333</v>
      </c>
      <c r="R76" s="16">
        <v>46226.7125</v>
      </c>
      <c r="S76" s="16">
        <v>46226.7291666667</v>
      </c>
      <c r="T76" s="16">
        <v>46226.7541666667</v>
      </c>
      <c r="U76" s="11">
        <v>0.7</v>
      </c>
      <c r="V76" s="11">
        <v>0.85</v>
      </c>
      <c r="W76" s="11">
        <v>0.85</v>
      </c>
      <c r="X76" s="11">
        <v>0</v>
      </c>
      <c r="Y76" s="11">
        <v>8</v>
      </c>
      <c r="Z76" s="12">
        <v>0.1062</v>
      </c>
      <c r="AA76" t="s">
        <v>66</v>
      </c>
      <c r="AB76" t="s">
        <v>56</v>
      </c>
      <c r="AC76" t="s">
        <v>57</v>
      </c>
      <c r="AD76" t="str">
        <f t="shared" si="1"/>
        <v>CONFLICTO</v>
      </c>
    </row>
    <row r="77" spans="1:30">
      <c r="A77" t="s">
        <v>314</v>
      </c>
      <c r="B77" s="15">
        <v>46226</v>
      </c>
      <c r="C77" t="s">
        <v>107</v>
      </c>
      <c r="D77">
        <v>30</v>
      </c>
      <c r="E77" t="s">
        <v>315</v>
      </c>
      <c r="F77" t="s">
        <v>316</v>
      </c>
      <c r="G77" t="s">
        <v>48</v>
      </c>
      <c r="H77" t="s">
        <v>100</v>
      </c>
      <c r="I77" t="s">
        <v>184</v>
      </c>
      <c r="J77" t="s">
        <v>117</v>
      </c>
      <c r="K77" t="s">
        <v>169</v>
      </c>
      <c r="L77" t="s">
        <v>53</v>
      </c>
      <c r="M77" t="s">
        <v>54</v>
      </c>
      <c r="N77" s="16">
        <v>46226.3166666667</v>
      </c>
      <c r="O77" s="16">
        <v>46226.3333333333</v>
      </c>
      <c r="P77" s="16">
        <v>46226.5416666667</v>
      </c>
      <c r="Q77" s="16">
        <v>46226.5625</v>
      </c>
      <c r="R77" s="16">
        <v>46226.5729166667</v>
      </c>
      <c r="S77" s="16">
        <v>46226.5895833333</v>
      </c>
      <c r="T77" s="16">
        <v>46226.6145833333</v>
      </c>
      <c r="U77" s="11">
        <v>4.1</v>
      </c>
      <c r="V77" s="11">
        <v>5</v>
      </c>
      <c r="W77" s="11">
        <v>5</v>
      </c>
      <c r="X77" s="11">
        <v>0</v>
      </c>
      <c r="Y77" s="11">
        <v>8</v>
      </c>
      <c r="Z77" s="12">
        <v>0.625</v>
      </c>
      <c r="AA77" t="s">
        <v>55</v>
      </c>
      <c r="AB77" t="s">
        <v>56</v>
      </c>
      <c r="AC77" t="s">
        <v>57</v>
      </c>
      <c r="AD77" t="str">
        <f t="shared" si="1"/>
        <v>CONFLICTO</v>
      </c>
    </row>
    <row r="78" spans="1:30">
      <c r="A78" t="s">
        <v>317</v>
      </c>
      <c r="B78" s="15">
        <v>46224</v>
      </c>
      <c r="C78" t="s">
        <v>88</v>
      </c>
      <c r="D78">
        <v>30</v>
      </c>
      <c r="E78" t="s">
        <v>318</v>
      </c>
      <c r="F78" t="s">
        <v>319</v>
      </c>
      <c r="G78" t="s">
        <v>48</v>
      </c>
      <c r="H78" t="s">
        <v>216</v>
      </c>
      <c r="I78" t="s">
        <v>194</v>
      </c>
      <c r="J78" t="s">
        <v>63</v>
      </c>
      <c r="K78" t="s">
        <v>78</v>
      </c>
      <c r="L78" t="s">
        <v>64</v>
      </c>
      <c r="M78" t="s">
        <v>65</v>
      </c>
      <c r="N78" s="16">
        <v>46224.4</v>
      </c>
      <c r="O78" s="16">
        <v>46224.4166666667</v>
      </c>
      <c r="P78" s="16">
        <v>46224.4725</v>
      </c>
      <c r="Q78" s="16">
        <v>46224.4933333333</v>
      </c>
      <c r="R78" s="16">
        <v>46224.50375</v>
      </c>
      <c r="S78" s="16">
        <v>46224.5204166667</v>
      </c>
      <c r="T78" s="16">
        <v>46224.5454166667</v>
      </c>
      <c r="U78" s="11">
        <v>1.1</v>
      </c>
      <c r="V78" s="11">
        <v>1.34</v>
      </c>
      <c r="W78" s="11">
        <v>1.34</v>
      </c>
      <c r="X78" s="11">
        <v>0</v>
      </c>
      <c r="Y78" s="11">
        <v>8</v>
      </c>
      <c r="Z78" s="12">
        <v>0.1675</v>
      </c>
      <c r="AA78" t="s">
        <v>66</v>
      </c>
      <c r="AB78" t="s">
        <v>56</v>
      </c>
      <c r="AC78" t="s">
        <v>57</v>
      </c>
      <c r="AD78" t="str">
        <f t="shared" si="1"/>
        <v>CONFLICTO</v>
      </c>
    </row>
    <row r="79" spans="1:30">
      <c r="A79" t="s">
        <v>320</v>
      </c>
      <c r="B79" s="15">
        <v>46216</v>
      </c>
      <c r="C79" t="s">
        <v>45</v>
      </c>
      <c r="D79">
        <v>29</v>
      </c>
      <c r="E79" t="s">
        <v>321</v>
      </c>
      <c r="F79" t="s">
        <v>322</v>
      </c>
      <c r="G79" t="s">
        <v>48</v>
      </c>
      <c r="H79" t="s">
        <v>256</v>
      </c>
      <c r="I79" t="s">
        <v>84</v>
      </c>
      <c r="J79" t="s">
        <v>63</v>
      </c>
      <c r="K79" t="s">
        <v>52</v>
      </c>
      <c r="L79" t="s">
        <v>53</v>
      </c>
      <c r="M79" t="s">
        <v>73</v>
      </c>
      <c r="N79" s="16">
        <v>46216.5666666667</v>
      </c>
      <c r="O79" s="16">
        <v>46216.5833333333</v>
      </c>
      <c r="P79" s="16">
        <v>46216.8120833333</v>
      </c>
      <c r="Q79" s="16">
        <v>46216.8329166667</v>
      </c>
      <c r="R79" s="16">
        <v>46216.8433333333</v>
      </c>
      <c r="S79" s="16">
        <v>46216.86</v>
      </c>
      <c r="T79" s="16">
        <v>46216.885</v>
      </c>
      <c r="U79" s="11">
        <v>4.5</v>
      </c>
      <c r="V79" s="11">
        <v>5.49</v>
      </c>
      <c r="W79" s="11">
        <v>3.5</v>
      </c>
      <c r="X79" s="11">
        <v>1.99</v>
      </c>
      <c r="Y79" s="11">
        <v>8</v>
      </c>
      <c r="Z79" s="12">
        <v>0.6863</v>
      </c>
      <c r="AA79" t="s">
        <v>55</v>
      </c>
      <c r="AB79" t="s">
        <v>56</v>
      </c>
      <c r="AC79" t="s">
        <v>57</v>
      </c>
      <c r="AD79" t="str">
        <f t="shared" si="1"/>
        <v>CONFLICTO</v>
      </c>
    </row>
    <row r="80" spans="1:30">
      <c r="A80" t="s">
        <v>323</v>
      </c>
      <c r="B80" s="15">
        <v>46216</v>
      </c>
      <c r="C80" t="s">
        <v>45</v>
      </c>
      <c r="D80">
        <v>29</v>
      </c>
      <c r="E80" t="s">
        <v>324</v>
      </c>
      <c r="F80" t="s">
        <v>325</v>
      </c>
      <c r="G80" t="s">
        <v>48</v>
      </c>
      <c r="H80" t="s">
        <v>173</v>
      </c>
      <c r="I80" t="s">
        <v>184</v>
      </c>
      <c r="J80" t="s">
        <v>51</v>
      </c>
      <c r="K80" t="s">
        <v>78</v>
      </c>
      <c r="L80" t="s">
        <v>64</v>
      </c>
      <c r="M80" t="s">
        <v>79</v>
      </c>
      <c r="N80" s="16">
        <v>46216.6291666667</v>
      </c>
      <c r="O80" s="16">
        <v>46216.6458333333</v>
      </c>
      <c r="P80" s="16">
        <v>46216.8541666667</v>
      </c>
      <c r="Q80" s="16">
        <v>46216.875</v>
      </c>
      <c r="R80" s="16">
        <v>46216.8854166667</v>
      </c>
      <c r="S80" s="16">
        <v>46216.9020833333</v>
      </c>
      <c r="T80" s="16">
        <v>46216.9270833333</v>
      </c>
      <c r="U80" s="11">
        <v>4.1</v>
      </c>
      <c r="V80" s="11">
        <v>5</v>
      </c>
      <c r="W80" s="11">
        <v>2</v>
      </c>
      <c r="X80" s="11">
        <v>3</v>
      </c>
      <c r="Y80" s="11">
        <v>8</v>
      </c>
      <c r="Z80" s="12">
        <v>0.625</v>
      </c>
      <c r="AA80" t="s">
        <v>55</v>
      </c>
      <c r="AB80" t="s">
        <v>56</v>
      </c>
      <c r="AC80" t="s">
        <v>57</v>
      </c>
      <c r="AD80" t="str">
        <f t="shared" si="1"/>
        <v>CONFLICTO</v>
      </c>
    </row>
    <row r="81" spans="1:30">
      <c r="A81" t="s">
        <v>326</v>
      </c>
      <c r="B81" s="15">
        <v>46220</v>
      </c>
      <c r="C81" t="s">
        <v>93</v>
      </c>
      <c r="D81">
        <v>29</v>
      </c>
      <c r="E81" t="s">
        <v>327</v>
      </c>
      <c r="F81" t="s">
        <v>328</v>
      </c>
      <c r="G81" t="s">
        <v>48</v>
      </c>
      <c r="H81" t="s">
        <v>71</v>
      </c>
      <c r="I81" t="s">
        <v>329</v>
      </c>
      <c r="J81" t="s">
        <v>117</v>
      </c>
      <c r="K81" t="s">
        <v>165</v>
      </c>
      <c r="L81" t="s">
        <v>53</v>
      </c>
      <c r="M81" t="s">
        <v>86</v>
      </c>
      <c r="N81" s="16">
        <v>46220.3166666667</v>
      </c>
      <c r="O81" s="16">
        <v>46220.3333333333</v>
      </c>
      <c r="P81" s="16">
        <v>46220.5008333333</v>
      </c>
      <c r="Q81" s="16">
        <v>46220.5216666667</v>
      </c>
      <c r="R81" s="16">
        <v>46220.5320833333</v>
      </c>
      <c r="S81" s="16">
        <v>46220.54875</v>
      </c>
      <c r="T81" s="16">
        <v>46220.57375</v>
      </c>
      <c r="U81" s="11">
        <v>3.3</v>
      </c>
      <c r="V81" s="11">
        <v>4.02</v>
      </c>
      <c r="W81" s="11">
        <v>4.02</v>
      </c>
      <c r="X81" s="11">
        <v>0</v>
      </c>
      <c r="Y81" s="11">
        <v>8</v>
      </c>
      <c r="Z81" s="12">
        <v>0.5025</v>
      </c>
      <c r="AA81" t="s">
        <v>66</v>
      </c>
      <c r="AB81" t="s">
        <v>56</v>
      </c>
      <c r="AC81" t="s">
        <v>57</v>
      </c>
      <c r="AD81" t="str">
        <f t="shared" si="1"/>
        <v>OK</v>
      </c>
    </row>
    <row r="82" spans="1:30">
      <c r="A82" t="s">
        <v>330</v>
      </c>
      <c r="B82" s="15">
        <v>46224</v>
      </c>
      <c r="C82" t="s">
        <v>88</v>
      </c>
      <c r="D82">
        <v>30</v>
      </c>
      <c r="E82" t="s">
        <v>331</v>
      </c>
      <c r="F82" t="s">
        <v>332</v>
      </c>
      <c r="G82" t="s">
        <v>48</v>
      </c>
      <c r="H82" t="s">
        <v>281</v>
      </c>
      <c r="I82" t="s">
        <v>122</v>
      </c>
      <c r="J82" t="s">
        <v>51</v>
      </c>
      <c r="K82" t="s">
        <v>78</v>
      </c>
      <c r="L82" t="s">
        <v>64</v>
      </c>
      <c r="M82" t="s">
        <v>91</v>
      </c>
      <c r="N82" s="16">
        <v>46224.4</v>
      </c>
      <c r="O82" s="16">
        <v>46224.4166666667</v>
      </c>
      <c r="P82" s="16">
        <v>46224.6566666667</v>
      </c>
      <c r="Q82" s="16">
        <v>46224.6775</v>
      </c>
      <c r="R82" s="16">
        <v>46224.6879166667</v>
      </c>
      <c r="S82" s="16">
        <v>46224.7045833333</v>
      </c>
      <c r="T82" s="16">
        <v>46224.7295833333</v>
      </c>
      <c r="U82" s="11">
        <v>3.9</v>
      </c>
      <c r="V82" s="11">
        <v>4.76</v>
      </c>
      <c r="W82" s="11">
        <v>4.76</v>
      </c>
      <c r="X82" s="11">
        <v>0</v>
      </c>
      <c r="Y82" s="11">
        <v>8</v>
      </c>
      <c r="Z82" s="12">
        <v>0.595</v>
      </c>
      <c r="AA82" t="s">
        <v>66</v>
      </c>
      <c r="AB82" t="s">
        <v>56</v>
      </c>
      <c r="AC82" t="s">
        <v>57</v>
      </c>
      <c r="AD82" t="str">
        <f t="shared" si="1"/>
        <v>CONFLICTO</v>
      </c>
    </row>
    <row r="83" spans="1:30">
      <c r="A83" t="s">
        <v>333</v>
      </c>
      <c r="B83" s="15">
        <v>46224</v>
      </c>
      <c r="C83" t="s">
        <v>88</v>
      </c>
      <c r="D83">
        <v>30</v>
      </c>
      <c r="E83" t="s">
        <v>334</v>
      </c>
      <c r="F83" t="s">
        <v>335</v>
      </c>
      <c r="G83" t="s">
        <v>48</v>
      </c>
      <c r="H83" t="s">
        <v>83</v>
      </c>
      <c r="I83" t="s">
        <v>101</v>
      </c>
      <c r="J83" t="s">
        <v>51</v>
      </c>
      <c r="K83" t="s">
        <v>105</v>
      </c>
      <c r="L83" t="s">
        <v>53</v>
      </c>
      <c r="M83" t="s">
        <v>54</v>
      </c>
      <c r="N83" s="16">
        <v>46224.5666666667</v>
      </c>
      <c r="O83" s="16">
        <v>46224.5833333333</v>
      </c>
      <c r="P83" s="16">
        <v>46224.61875</v>
      </c>
      <c r="Q83" s="16">
        <v>46224.6395833333</v>
      </c>
      <c r="R83" s="16">
        <v>46224.65</v>
      </c>
      <c r="S83" s="16">
        <v>46224.6666666667</v>
      </c>
      <c r="T83" s="16">
        <v>46224.6916666667</v>
      </c>
      <c r="U83" s="11">
        <v>0.7</v>
      </c>
      <c r="V83" s="11">
        <v>0.85</v>
      </c>
      <c r="W83" s="11">
        <v>0.85</v>
      </c>
      <c r="X83" s="11">
        <v>0</v>
      </c>
      <c r="Y83" s="11">
        <v>8</v>
      </c>
      <c r="Z83" s="12">
        <v>0.1062</v>
      </c>
      <c r="AA83" t="s">
        <v>66</v>
      </c>
      <c r="AB83" t="s">
        <v>56</v>
      </c>
      <c r="AC83" t="s">
        <v>57</v>
      </c>
      <c r="AD83" t="str">
        <f t="shared" si="1"/>
        <v>CONFLICTO</v>
      </c>
    </row>
    <row r="84" spans="1:30">
      <c r="A84" t="s">
        <v>336</v>
      </c>
      <c r="B84" s="15">
        <v>46216</v>
      </c>
      <c r="C84" t="s">
        <v>45</v>
      </c>
      <c r="D84">
        <v>29</v>
      </c>
      <c r="E84" t="s">
        <v>337</v>
      </c>
      <c r="F84" t="s">
        <v>338</v>
      </c>
      <c r="G84" t="s">
        <v>48</v>
      </c>
      <c r="H84" t="s">
        <v>61</v>
      </c>
      <c r="I84" t="s">
        <v>84</v>
      </c>
      <c r="J84" t="s">
        <v>63</v>
      </c>
      <c r="K84" t="s">
        <v>141</v>
      </c>
      <c r="L84" t="s">
        <v>64</v>
      </c>
      <c r="M84" t="s">
        <v>65</v>
      </c>
      <c r="N84" s="16">
        <v>46216.6291666667</v>
      </c>
      <c r="O84" s="16">
        <v>46216.6458333333</v>
      </c>
      <c r="P84" s="16">
        <v>46216.8745833333</v>
      </c>
      <c r="Q84" s="16">
        <v>46216.8954166667</v>
      </c>
      <c r="R84" s="16">
        <v>46216.9058333333</v>
      </c>
      <c r="S84" s="16">
        <v>46216.9225</v>
      </c>
      <c r="T84" s="16">
        <v>46216.9475</v>
      </c>
      <c r="U84" s="11">
        <v>4.5</v>
      </c>
      <c r="V84" s="11">
        <v>5.49</v>
      </c>
      <c r="W84" s="11">
        <v>2.49</v>
      </c>
      <c r="X84" s="11">
        <v>3</v>
      </c>
      <c r="Y84" s="11">
        <v>8</v>
      </c>
      <c r="Z84" s="12">
        <v>0.6863</v>
      </c>
      <c r="AA84" t="s">
        <v>55</v>
      </c>
      <c r="AB84" t="s">
        <v>56</v>
      </c>
      <c r="AC84" t="s">
        <v>57</v>
      </c>
      <c r="AD84" t="str">
        <f t="shared" si="1"/>
        <v>CONFLICTO</v>
      </c>
    </row>
    <row r="85" spans="1:30">
      <c r="A85" t="s">
        <v>339</v>
      </c>
      <c r="B85" s="15">
        <v>46224</v>
      </c>
      <c r="C85" t="s">
        <v>88</v>
      </c>
      <c r="D85">
        <v>30</v>
      </c>
      <c r="E85" t="s">
        <v>340</v>
      </c>
      <c r="F85" t="s">
        <v>341</v>
      </c>
      <c r="G85" t="s">
        <v>48</v>
      </c>
      <c r="H85" t="s">
        <v>216</v>
      </c>
      <c r="I85" t="s">
        <v>329</v>
      </c>
      <c r="J85" t="s">
        <v>85</v>
      </c>
      <c r="K85" t="s">
        <v>169</v>
      </c>
      <c r="L85" t="s">
        <v>53</v>
      </c>
      <c r="M85" t="s">
        <v>73</v>
      </c>
      <c r="N85" s="16">
        <v>46224.3166666667</v>
      </c>
      <c r="O85" s="16">
        <v>46224.3333333333</v>
      </c>
      <c r="P85" s="16">
        <v>46224.5008333333</v>
      </c>
      <c r="Q85" s="16">
        <v>46224.5216666667</v>
      </c>
      <c r="R85" s="16">
        <v>46224.5320833333</v>
      </c>
      <c r="S85" s="16">
        <v>46224.54875</v>
      </c>
      <c r="T85" s="16">
        <v>46224.57375</v>
      </c>
      <c r="U85" s="11">
        <v>3.3</v>
      </c>
      <c r="V85" s="11">
        <v>4.02</v>
      </c>
      <c r="W85" s="11">
        <v>4.02</v>
      </c>
      <c r="X85" s="11">
        <v>0</v>
      </c>
      <c r="Y85" s="11">
        <v>8</v>
      </c>
      <c r="Z85" s="12">
        <v>0.5025</v>
      </c>
      <c r="AA85" t="s">
        <v>66</v>
      </c>
      <c r="AB85" t="s">
        <v>56</v>
      </c>
      <c r="AC85" t="s">
        <v>57</v>
      </c>
      <c r="AD85" t="str">
        <f t="shared" si="1"/>
        <v>OK</v>
      </c>
    </row>
    <row r="86" spans="1:30">
      <c r="A86" t="s">
        <v>342</v>
      </c>
      <c r="B86" s="15">
        <v>46219</v>
      </c>
      <c r="C86" t="s">
        <v>107</v>
      </c>
      <c r="D86">
        <v>29</v>
      </c>
      <c r="E86" t="s">
        <v>343</v>
      </c>
      <c r="F86" t="s">
        <v>344</v>
      </c>
      <c r="G86" t="s">
        <v>48</v>
      </c>
      <c r="H86" t="s">
        <v>281</v>
      </c>
      <c r="I86" t="s">
        <v>84</v>
      </c>
      <c r="J86" t="s">
        <v>51</v>
      </c>
      <c r="K86" t="s">
        <v>169</v>
      </c>
      <c r="L86" t="s">
        <v>64</v>
      </c>
      <c r="M86" t="s">
        <v>79</v>
      </c>
      <c r="N86" s="16">
        <v>46219.4</v>
      </c>
      <c r="O86" s="16">
        <v>46219.4166666667</v>
      </c>
      <c r="P86" s="16">
        <v>46219.6870833333</v>
      </c>
      <c r="Q86" s="16">
        <v>46219.7079166667</v>
      </c>
      <c r="R86" s="16">
        <v>46219.7183333333</v>
      </c>
      <c r="S86" s="16">
        <v>46219.735</v>
      </c>
      <c r="T86" s="16">
        <v>46219.76</v>
      </c>
      <c r="U86" s="11">
        <v>4.5</v>
      </c>
      <c r="V86" s="11">
        <v>5.49</v>
      </c>
      <c r="W86" s="11">
        <v>5.49</v>
      </c>
      <c r="X86" s="11">
        <v>0</v>
      </c>
      <c r="Y86" s="11">
        <v>8</v>
      </c>
      <c r="Z86" s="12">
        <v>0.6863</v>
      </c>
      <c r="AA86" t="s">
        <v>55</v>
      </c>
      <c r="AB86" t="s">
        <v>56</v>
      </c>
      <c r="AC86" t="s">
        <v>57</v>
      </c>
      <c r="AD86" t="str">
        <f t="shared" si="1"/>
        <v>CONFLICTO</v>
      </c>
    </row>
    <row r="87" spans="1:30">
      <c r="A87" t="s">
        <v>345</v>
      </c>
      <c r="B87" s="15">
        <v>46223</v>
      </c>
      <c r="C87" t="s">
        <v>45</v>
      </c>
      <c r="D87">
        <v>30</v>
      </c>
      <c r="E87" t="s">
        <v>346</v>
      </c>
      <c r="F87" t="s">
        <v>347</v>
      </c>
      <c r="G87" t="s">
        <v>48</v>
      </c>
      <c r="H87" t="s">
        <v>61</v>
      </c>
      <c r="I87" t="s">
        <v>77</v>
      </c>
      <c r="J87" t="s">
        <v>85</v>
      </c>
      <c r="K87" t="s">
        <v>169</v>
      </c>
      <c r="L87" t="s">
        <v>53</v>
      </c>
      <c r="M87" t="s">
        <v>86</v>
      </c>
      <c r="N87" s="16">
        <v>46223.5666666667</v>
      </c>
      <c r="O87" s="16">
        <v>46223.5833333333</v>
      </c>
      <c r="P87" s="16">
        <v>46223.6266666667</v>
      </c>
      <c r="Q87" s="16">
        <v>46223.6475</v>
      </c>
      <c r="R87" s="16">
        <v>46223.6579166667</v>
      </c>
      <c r="S87" s="16">
        <v>46223.6745833333</v>
      </c>
      <c r="T87" s="16">
        <v>46223.6995833333</v>
      </c>
      <c r="U87" s="11">
        <v>0.85</v>
      </c>
      <c r="V87" s="11">
        <v>1.04</v>
      </c>
      <c r="W87" s="11">
        <v>1.04</v>
      </c>
      <c r="X87" s="11">
        <v>0</v>
      </c>
      <c r="Y87" s="11">
        <v>8</v>
      </c>
      <c r="Z87" s="12">
        <v>0.13</v>
      </c>
      <c r="AA87" t="s">
        <v>66</v>
      </c>
      <c r="AB87" t="s">
        <v>56</v>
      </c>
      <c r="AC87" t="s">
        <v>57</v>
      </c>
      <c r="AD87" t="str">
        <f t="shared" si="1"/>
        <v>CONFLICTO</v>
      </c>
    </row>
    <row r="88" spans="1:30">
      <c r="A88" t="s">
        <v>348</v>
      </c>
      <c r="B88" s="15">
        <v>46230</v>
      </c>
      <c r="C88" t="s">
        <v>45</v>
      </c>
      <c r="D88">
        <v>31</v>
      </c>
      <c r="E88" t="s">
        <v>349</v>
      </c>
      <c r="F88" t="s">
        <v>350</v>
      </c>
      <c r="G88" t="s">
        <v>48</v>
      </c>
      <c r="H88" t="s">
        <v>96</v>
      </c>
      <c r="I88" t="s">
        <v>158</v>
      </c>
      <c r="J88" t="s">
        <v>117</v>
      </c>
      <c r="K88" t="s">
        <v>169</v>
      </c>
      <c r="L88" t="s">
        <v>64</v>
      </c>
      <c r="M88" t="s">
        <v>91</v>
      </c>
      <c r="N88" s="16">
        <v>46230.6291666667</v>
      </c>
      <c r="O88" s="16">
        <v>46230.6458333333</v>
      </c>
      <c r="P88" s="16">
        <v>46230.6891666667</v>
      </c>
      <c r="Q88" s="16">
        <v>46230.71</v>
      </c>
      <c r="R88" s="16">
        <v>46230.7204166667</v>
      </c>
      <c r="S88" s="16">
        <v>46230.7370833333</v>
      </c>
      <c r="T88" s="16">
        <v>46230.7620833333</v>
      </c>
      <c r="U88" s="11">
        <v>0.85</v>
      </c>
      <c r="V88" s="11">
        <v>1.04</v>
      </c>
      <c r="W88" s="11">
        <v>1.04</v>
      </c>
      <c r="X88" s="11">
        <v>0</v>
      </c>
      <c r="Y88" s="11">
        <v>8</v>
      </c>
      <c r="Z88" s="12">
        <v>0.13</v>
      </c>
      <c r="AA88" t="s">
        <v>66</v>
      </c>
      <c r="AB88" t="s">
        <v>56</v>
      </c>
      <c r="AC88" t="s">
        <v>57</v>
      </c>
      <c r="AD88" t="str">
        <f t="shared" si="1"/>
        <v>OK</v>
      </c>
    </row>
    <row r="89" spans="1:30">
      <c r="A89" t="s">
        <v>351</v>
      </c>
      <c r="B89" s="15">
        <v>46223</v>
      </c>
      <c r="C89" t="s">
        <v>45</v>
      </c>
      <c r="D89">
        <v>30</v>
      </c>
      <c r="E89" t="s">
        <v>352</v>
      </c>
      <c r="F89" t="s">
        <v>353</v>
      </c>
      <c r="G89" t="s">
        <v>48</v>
      </c>
      <c r="H89" t="s">
        <v>61</v>
      </c>
      <c r="I89" t="s">
        <v>194</v>
      </c>
      <c r="J89" t="s">
        <v>63</v>
      </c>
      <c r="K89" t="s">
        <v>165</v>
      </c>
      <c r="L89" t="s">
        <v>53</v>
      </c>
      <c r="M89" t="s">
        <v>54</v>
      </c>
      <c r="N89" s="16">
        <v>46223.3166666667</v>
      </c>
      <c r="O89" s="16">
        <v>46223.3333333333</v>
      </c>
      <c r="P89" s="16">
        <v>46223.3891666667</v>
      </c>
      <c r="Q89" s="16">
        <v>46223.41</v>
      </c>
      <c r="R89" s="16">
        <v>46223.4204166667</v>
      </c>
      <c r="S89" s="16">
        <v>46223.4370833333</v>
      </c>
      <c r="T89" s="16">
        <v>46223.4620833333</v>
      </c>
      <c r="U89" s="11">
        <v>1.1</v>
      </c>
      <c r="V89" s="11">
        <v>1.34</v>
      </c>
      <c r="W89" s="11">
        <v>1.34</v>
      </c>
      <c r="X89" s="11">
        <v>0</v>
      </c>
      <c r="Y89" s="11">
        <v>8</v>
      </c>
      <c r="Z89" s="12">
        <v>0.1675</v>
      </c>
      <c r="AA89" t="s">
        <v>66</v>
      </c>
      <c r="AB89" t="s">
        <v>56</v>
      </c>
      <c r="AC89" t="s">
        <v>57</v>
      </c>
      <c r="AD89" t="str">
        <f t="shared" si="1"/>
        <v>OK</v>
      </c>
    </row>
    <row r="90" spans="1:30">
      <c r="A90" t="s">
        <v>354</v>
      </c>
      <c r="B90" s="15">
        <v>46230</v>
      </c>
      <c r="C90" t="s">
        <v>45</v>
      </c>
      <c r="D90">
        <v>31</v>
      </c>
      <c r="E90" t="s">
        <v>355</v>
      </c>
      <c r="F90" t="s">
        <v>356</v>
      </c>
      <c r="G90" t="s">
        <v>48</v>
      </c>
      <c r="H90" t="s">
        <v>71</v>
      </c>
      <c r="I90" t="s">
        <v>122</v>
      </c>
      <c r="J90" t="s">
        <v>51</v>
      </c>
      <c r="K90" t="s">
        <v>165</v>
      </c>
      <c r="L90" t="s">
        <v>64</v>
      </c>
      <c r="M90" t="s">
        <v>65</v>
      </c>
      <c r="N90" s="16">
        <v>46230.4</v>
      </c>
      <c r="O90" s="16">
        <v>46230.4166666667</v>
      </c>
      <c r="P90" s="16">
        <v>46230.6566666667</v>
      </c>
      <c r="Q90" s="16">
        <v>46230.6775</v>
      </c>
      <c r="R90" s="16">
        <v>46230.6879166667</v>
      </c>
      <c r="S90" s="16">
        <v>46230.7045833333</v>
      </c>
      <c r="T90" s="16">
        <v>46230.7295833333</v>
      </c>
      <c r="U90" s="11">
        <v>3.9</v>
      </c>
      <c r="V90" s="11">
        <v>4.76</v>
      </c>
      <c r="W90" s="11">
        <v>4.76</v>
      </c>
      <c r="X90" s="11">
        <v>0</v>
      </c>
      <c r="Y90" s="11">
        <v>8</v>
      </c>
      <c r="Z90" s="12">
        <v>0.595</v>
      </c>
      <c r="AA90" t="s">
        <v>66</v>
      </c>
      <c r="AB90" t="s">
        <v>56</v>
      </c>
      <c r="AC90" t="s">
        <v>57</v>
      </c>
      <c r="AD90" t="str">
        <f t="shared" si="1"/>
        <v>CONFLICTO</v>
      </c>
    </row>
    <row r="91" spans="1:30">
      <c r="A91" t="s">
        <v>357</v>
      </c>
      <c r="B91" s="15">
        <v>46217</v>
      </c>
      <c r="C91" t="s">
        <v>88</v>
      </c>
      <c r="D91">
        <v>29</v>
      </c>
      <c r="E91" t="s">
        <v>358</v>
      </c>
      <c r="F91" t="s">
        <v>359</v>
      </c>
      <c r="G91" t="s">
        <v>48</v>
      </c>
      <c r="H91" t="s">
        <v>116</v>
      </c>
      <c r="I91" t="s">
        <v>122</v>
      </c>
      <c r="J91" t="s">
        <v>51</v>
      </c>
      <c r="K91" t="s">
        <v>52</v>
      </c>
      <c r="L91" t="s">
        <v>53</v>
      </c>
      <c r="M91" t="s">
        <v>73</v>
      </c>
      <c r="N91" s="16">
        <v>46217.5666666667</v>
      </c>
      <c r="O91" s="16">
        <v>46217.5833333333</v>
      </c>
      <c r="P91" s="16">
        <v>46217.7816666667</v>
      </c>
      <c r="Q91" s="16">
        <v>46217.8025</v>
      </c>
      <c r="R91" s="16">
        <v>46217.8129166667</v>
      </c>
      <c r="S91" s="16">
        <v>46217.8295833333</v>
      </c>
      <c r="T91" s="16">
        <v>46217.8545833333</v>
      </c>
      <c r="U91" s="11">
        <v>3.9</v>
      </c>
      <c r="V91" s="11">
        <v>4.76</v>
      </c>
      <c r="W91" s="11">
        <v>3.5</v>
      </c>
      <c r="X91" s="11">
        <v>1.26</v>
      </c>
      <c r="Y91" s="11">
        <v>8</v>
      </c>
      <c r="Z91" s="12">
        <v>0.595</v>
      </c>
      <c r="AA91" t="s">
        <v>66</v>
      </c>
      <c r="AB91" t="s">
        <v>56</v>
      </c>
      <c r="AC91" t="s">
        <v>57</v>
      </c>
      <c r="AD91" t="str">
        <f t="shared" si="1"/>
        <v>CONFLICTO</v>
      </c>
    </row>
    <row r="92" spans="1:30">
      <c r="A92" t="s">
        <v>360</v>
      </c>
      <c r="B92" s="15">
        <v>46218</v>
      </c>
      <c r="C92" t="s">
        <v>68</v>
      </c>
      <c r="D92">
        <v>29</v>
      </c>
      <c r="E92" t="s">
        <v>361</v>
      </c>
      <c r="F92" t="s">
        <v>362</v>
      </c>
      <c r="G92" t="s">
        <v>48</v>
      </c>
      <c r="H92" t="s">
        <v>256</v>
      </c>
      <c r="I92" t="s">
        <v>84</v>
      </c>
      <c r="J92" t="s">
        <v>63</v>
      </c>
      <c r="K92" t="s">
        <v>52</v>
      </c>
      <c r="L92" t="s">
        <v>64</v>
      </c>
      <c r="M92" t="s">
        <v>79</v>
      </c>
      <c r="N92" s="16">
        <v>46218.6291666667</v>
      </c>
      <c r="O92" s="16">
        <v>46218.6458333333</v>
      </c>
      <c r="P92" s="16">
        <v>46218.8745833333</v>
      </c>
      <c r="Q92" s="16">
        <v>46218.8954166667</v>
      </c>
      <c r="R92" s="16">
        <v>46218.9058333333</v>
      </c>
      <c r="S92" s="16">
        <v>46218.9225</v>
      </c>
      <c r="T92" s="16">
        <v>46218.9475</v>
      </c>
      <c r="U92" s="11">
        <v>4.5</v>
      </c>
      <c r="V92" s="11">
        <v>5.49</v>
      </c>
      <c r="W92" s="11">
        <v>2.49</v>
      </c>
      <c r="X92" s="11">
        <v>3</v>
      </c>
      <c r="Y92" s="11">
        <v>8</v>
      </c>
      <c r="Z92" s="12">
        <v>0.6863</v>
      </c>
      <c r="AA92" t="s">
        <v>55</v>
      </c>
      <c r="AB92" t="s">
        <v>56</v>
      </c>
      <c r="AC92" t="s">
        <v>57</v>
      </c>
      <c r="AD92" t="str">
        <f t="shared" si="1"/>
        <v>OK</v>
      </c>
    </row>
    <row r="93" spans="1:30">
      <c r="A93" t="s">
        <v>363</v>
      </c>
      <c r="B93" s="15">
        <v>46227</v>
      </c>
      <c r="C93" t="s">
        <v>93</v>
      </c>
      <c r="D93">
        <v>30</v>
      </c>
      <c r="E93" t="s">
        <v>364</v>
      </c>
      <c r="F93" t="s">
        <v>365</v>
      </c>
      <c r="G93" t="s">
        <v>48</v>
      </c>
      <c r="H93" t="s">
        <v>61</v>
      </c>
      <c r="I93" t="s">
        <v>84</v>
      </c>
      <c r="J93" t="s">
        <v>63</v>
      </c>
      <c r="K93" t="s">
        <v>52</v>
      </c>
      <c r="L93" t="s">
        <v>53</v>
      </c>
      <c r="M93" t="s">
        <v>86</v>
      </c>
      <c r="N93" s="16">
        <v>46227.3166666667</v>
      </c>
      <c r="O93" s="16">
        <v>46227.3333333333</v>
      </c>
      <c r="P93" s="16">
        <v>46227.60375</v>
      </c>
      <c r="Q93" s="16">
        <v>46227.6245833333</v>
      </c>
      <c r="R93" s="16">
        <v>46227.635</v>
      </c>
      <c r="S93" s="16">
        <v>46227.6516666667</v>
      </c>
      <c r="T93" s="16">
        <v>46227.6766666667</v>
      </c>
      <c r="U93" s="11">
        <v>4.5</v>
      </c>
      <c r="V93" s="11">
        <v>5.49</v>
      </c>
      <c r="W93" s="11">
        <v>5.49</v>
      </c>
      <c r="X93" s="11">
        <v>0</v>
      </c>
      <c r="Y93" s="11">
        <v>8</v>
      </c>
      <c r="Z93" s="12">
        <v>0.6863</v>
      </c>
      <c r="AA93" t="s">
        <v>55</v>
      </c>
      <c r="AB93" t="s">
        <v>56</v>
      </c>
      <c r="AC93" t="s">
        <v>57</v>
      </c>
      <c r="AD93" t="str">
        <f t="shared" si="1"/>
        <v>CONFLICTO</v>
      </c>
    </row>
    <row r="94" spans="1:30">
      <c r="A94" t="s">
        <v>366</v>
      </c>
      <c r="B94" s="15">
        <v>46217</v>
      </c>
      <c r="C94" t="s">
        <v>88</v>
      </c>
      <c r="D94">
        <v>29</v>
      </c>
      <c r="E94" t="s">
        <v>367</v>
      </c>
      <c r="F94" t="s">
        <v>368</v>
      </c>
      <c r="G94" t="s">
        <v>48</v>
      </c>
      <c r="H94" t="s">
        <v>281</v>
      </c>
      <c r="I94" t="s">
        <v>101</v>
      </c>
      <c r="J94" t="s">
        <v>51</v>
      </c>
      <c r="K94" t="s">
        <v>169</v>
      </c>
      <c r="L94" t="s">
        <v>64</v>
      </c>
      <c r="M94" t="s">
        <v>91</v>
      </c>
      <c r="N94" s="16">
        <v>46217.4</v>
      </c>
      <c r="O94" s="16">
        <v>46217.4166666667</v>
      </c>
      <c r="P94" s="16">
        <v>46217.4520833333</v>
      </c>
      <c r="Q94" s="16">
        <v>46217.4729166667</v>
      </c>
      <c r="R94" s="16">
        <v>46217.4833333333</v>
      </c>
      <c r="S94" s="16">
        <v>46217.5</v>
      </c>
      <c r="T94" s="16">
        <v>46217.525</v>
      </c>
      <c r="U94" s="11">
        <v>0.7</v>
      </c>
      <c r="V94" s="11">
        <v>0.85</v>
      </c>
      <c r="W94" s="11">
        <v>0.85</v>
      </c>
      <c r="X94" s="11">
        <v>0</v>
      </c>
      <c r="Y94" s="11">
        <v>8</v>
      </c>
      <c r="Z94" s="12">
        <v>0.1062</v>
      </c>
      <c r="AA94" t="s">
        <v>66</v>
      </c>
      <c r="AB94" t="s">
        <v>56</v>
      </c>
      <c r="AC94" t="s">
        <v>57</v>
      </c>
      <c r="AD94" t="str">
        <f t="shared" si="1"/>
        <v>CONFLICTO</v>
      </c>
    </row>
    <row r="95" spans="1:30">
      <c r="A95" t="s">
        <v>369</v>
      </c>
      <c r="B95" s="15">
        <v>46230</v>
      </c>
      <c r="C95" t="s">
        <v>45</v>
      </c>
      <c r="D95">
        <v>31</v>
      </c>
      <c r="E95" t="s">
        <v>370</v>
      </c>
      <c r="F95" t="s">
        <v>371</v>
      </c>
      <c r="G95" t="s">
        <v>48</v>
      </c>
      <c r="H95" t="s">
        <v>116</v>
      </c>
      <c r="I95" t="s">
        <v>177</v>
      </c>
      <c r="J95" t="s">
        <v>85</v>
      </c>
      <c r="K95" t="s">
        <v>169</v>
      </c>
      <c r="L95" t="s">
        <v>53</v>
      </c>
      <c r="M95" t="s">
        <v>54</v>
      </c>
      <c r="N95" s="16">
        <v>46230.5666666667</v>
      </c>
      <c r="O95" s="16">
        <v>46230.5833333333</v>
      </c>
      <c r="P95" s="16">
        <v>46230.61875</v>
      </c>
      <c r="Q95" s="16">
        <v>46230.6395833333</v>
      </c>
      <c r="R95" s="16">
        <v>46230.65</v>
      </c>
      <c r="S95" s="16">
        <v>46230.6666666667</v>
      </c>
      <c r="T95" s="16">
        <v>46230.6916666667</v>
      </c>
      <c r="U95" s="11">
        <v>0.7</v>
      </c>
      <c r="V95" s="11">
        <v>0.85</v>
      </c>
      <c r="W95" s="11">
        <v>0.85</v>
      </c>
      <c r="X95" s="11">
        <v>0</v>
      </c>
      <c r="Y95" s="11">
        <v>8</v>
      </c>
      <c r="Z95" s="12">
        <v>0.1062</v>
      </c>
      <c r="AA95" t="s">
        <v>66</v>
      </c>
      <c r="AB95" t="s">
        <v>56</v>
      </c>
      <c r="AC95" t="s">
        <v>57</v>
      </c>
      <c r="AD95" t="str">
        <f t="shared" si="1"/>
        <v>CONFLICTO</v>
      </c>
    </row>
    <row r="96" spans="1:30">
      <c r="A96" t="s">
        <v>372</v>
      </c>
      <c r="B96" s="15">
        <v>46216</v>
      </c>
      <c r="C96" t="s">
        <v>45</v>
      </c>
      <c r="D96">
        <v>29</v>
      </c>
      <c r="E96" t="s">
        <v>373</v>
      </c>
      <c r="F96" t="s">
        <v>374</v>
      </c>
      <c r="G96" t="s">
        <v>48</v>
      </c>
      <c r="H96" t="s">
        <v>100</v>
      </c>
      <c r="I96" t="s">
        <v>77</v>
      </c>
      <c r="J96" t="s">
        <v>63</v>
      </c>
      <c r="K96" t="s">
        <v>169</v>
      </c>
      <c r="L96" t="s">
        <v>64</v>
      </c>
      <c r="M96" t="s">
        <v>65</v>
      </c>
      <c r="N96" s="16">
        <v>46216.6291666667</v>
      </c>
      <c r="O96" s="16">
        <v>46216.6458333333</v>
      </c>
      <c r="P96" s="16">
        <v>46216.6891666667</v>
      </c>
      <c r="Q96" s="16">
        <v>46216.71</v>
      </c>
      <c r="R96" s="16">
        <v>46216.7204166667</v>
      </c>
      <c r="S96" s="16">
        <v>46216.7370833333</v>
      </c>
      <c r="T96" s="16">
        <v>46216.7620833333</v>
      </c>
      <c r="U96" s="11">
        <v>0.85</v>
      </c>
      <c r="V96" s="11">
        <v>1.04</v>
      </c>
      <c r="W96" s="11">
        <v>1.04</v>
      </c>
      <c r="X96" s="11">
        <v>0</v>
      </c>
      <c r="Y96" s="11">
        <v>8</v>
      </c>
      <c r="Z96" s="12">
        <v>0.13</v>
      </c>
      <c r="AA96" t="s">
        <v>66</v>
      </c>
      <c r="AB96" t="s">
        <v>56</v>
      </c>
      <c r="AC96" t="s">
        <v>57</v>
      </c>
      <c r="AD96" t="str">
        <f t="shared" si="1"/>
        <v>CONFLICTO</v>
      </c>
    </row>
    <row r="97" spans="1:30">
      <c r="A97" t="s">
        <v>375</v>
      </c>
      <c r="B97" s="15">
        <v>46225</v>
      </c>
      <c r="C97" t="s">
        <v>68</v>
      </c>
      <c r="D97">
        <v>30</v>
      </c>
      <c r="E97" t="s">
        <v>376</v>
      </c>
      <c r="F97" t="s">
        <v>377</v>
      </c>
      <c r="G97" t="s">
        <v>48</v>
      </c>
      <c r="H97" t="s">
        <v>49</v>
      </c>
      <c r="I97" t="s">
        <v>184</v>
      </c>
      <c r="J97" t="s">
        <v>51</v>
      </c>
      <c r="K97" t="s">
        <v>105</v>
      </c>
      <c r="L97" t="s">
        <v>53</v>
      </c>
      <c r="M97" t="s">
        <v>73</v>
      </c>
      <c r="N97" s="16">
        <v>46225.3166666667</v>
      </c>
      <c r="O97" s="16">
        <v>46225.3333333333</v>
      </c>
      <c r="P97" s="16">
        <v>46225.5416666667</v>
      </c>
      <c r="Q97" s="16">
        <v>46225.5625</v>
      </c>
      <c r="R97" s="16">
        <v>46225.5729166667</v>
      </c>
      <c r="S97" s="16">
        <v>46225.5895833333</v>
      </c>
      <c r="T97" s="16">
        <v>46225.6145833333</v>
      </c>
      <c r="U97" s="11">
        <v>4.1</v>
      </c>
      <c r="V97" s="11">
        <v>5</v>
      </c>
      <c r="W97" s="11">
        <v>5</v>
      </c>
      <c r="X97" s="11">
        <v>0</v>
      </c>
      <c r="Y97" s="11">
        <v>8</v>
      </c>
      <c r="Z97" s="12">
        <v>0.625</v>
      </c>
      <c r="AA97" t="s">
        <v>55</v>
      </c>
      <c r="AB97" t="s">
        <v>56</v>
      </c>
      <c r="AC97" t="s">
        <v>57</v>
      </c>
      <c r="AD97" t="str">
        <f t="shared" si="1"/>
        <v>OK</v>
      </c>
    </row>
    <row r="98" spans="1:30">
      <c r="A98" t="s">
        <v>378</v>
      </c>
      <c r="B98" s="15">
        <v>46217</v>
      </c>
      <c r="C98" t="s">
        <v>88</v>
      </c>
      <c r="D98">
        <v>29</v>
      </c>
      <c r="E98" t="s">
        <v>379</v>
      </c>
      <c r="F98" t="s">
        <v>380</v>
      </c>
      <c r="G98" t="s">
        <v>48</v>
      </c>
      <c r="H98" t="s">
        <v>154</v>
      </c>
      <c r="I98" t="s">
        <v>50</v>
      </c>
      <c r="J98" t="s">
        <v>117</v>
      </c>
      <c r="K98" t="s">
        <v>78</v>
      </c>
      <c r="L98" t="s">
        <v>64</v>
      </c>
      <c r="M98" t="s">
        <v>79</v>
      </c>
      <c r="N98" s="16">
        <v>46217.4</v>
      </c>
      <c r="O98" s="16">
        <v>46217.4166666667</v>
      </c>
      <c r="P98" s="16">
        <v>46217.6716666667</v>
      </c>
      <c r="Q98" s="16">
        <v>46217.6925</v>
      </c>
      <c r="R98" s="16">
        <v>46217.7029166667</v>
      </c>
      <c r="S98" s="16">
        <v>46217.7195833333</v>
      </c>
      <c r="T98" s="16">
        <v>46217.7445833333</v>
      </c>
      <c r="U98" s="11">
        <v>4.2</v>
      </c>
      <c r="V98" s="11">
        <v>5.12</v>
      </c>
      <c r="W98" s="11">
        <v>5.12</v>
      </c>
      <c r="X98" s="11">
        <v>0</v>
      </c>
      <c r="Y98" s="11">
        <v>8</v>
      </c>
      <c r="Z98" s="12">
        <v>0.64</v>
      </c>
      <c r="AA98" t="s">
        <v>55</v>
      </c>
      <c r="AB98" t="s">
        <v>56</v>
      </c>
      <c r="AC98" t="s">
        <v>57</v>
      </c>
      <c r="AD98" t="str">
        <f t="shared" si="1"/>
        <v>CONFLICTO</v>
      </c>
    </row>
    <row r="99" spans="1:30">
      <c r="A99" t="s">
        <v>381</v>
      </c>
      <c r="B99" s="15">
        <v>46230</v>
      </c>
      <c r="C99" t="s">
        <v>45</v>
      </c>
      <c r="D99">
        <v>31</v>
      </c>
      <c r="E99" t="s">
        <v>382</v>
      </c>
      <c r="F99" t="s">
        <v>383</v>
      </c>
      <c r="G99" t="s">
        <v>48</v>
      </c>
      <c r="H99" t="s">
        <v>100</v>
      </c>
      <c r="I99" t="s">
        <v>158</v>
      </c>
      <c r="J99" t="s">
        <v>63</v>
      </c>
      <c r="K99" t="s">
        <v>169</v>
      </c>
      <c r="L99" t="s">
        <v>53</v>
      </c>
      <c r="M99" t="s">
        <v>86</v>
      </c>
      <c r="N99" s="16">
        <v>46230.5666666667</v>
      </c>
      <c r="O99" s="16">
        <v>46230.5833333333</v>
      </c>
      <c r="P99" s="16">
        <v>46230.6266666667</v>
      </c>
      <c r="Q99" s="16">
        <v>46230.6475</v>
      </c>
      <c r="R99" s="16">
        <v>46230.6579166667</v>
      </c>
      <c r="S99" s="16">
        <v>46230.6745833333</v>
      </c>
      <c r="T99" s="16">
        <v>46230.6995833333</v>
      </c>
      <c r="U99" s="11">
        <v>0.85</v>
      </c>
      <c r="V99" s="11">
        <v>1.04</v>
      </c>
      <c r="W99" s="11">
        <v>1.04</v>
      </c>
      <c r="X99" s="11">
        <v>0</v>
      </c>
      <c r="Y99" s="11">
        <v>8</v>
      </c>
      <c r="Z99" s="12">
        <v>0.13</v>
      </c>
      <c r="AA99" t="s">
        <v>66</v>
      </c>
      <c r="AB99" t="s">
        <v>56</v>
      </c>
      <c r="AC99" t="s">
        <v>57</v>
      </c>
      <c r="AD99" t="str">
        <f t="shared" si="1"/>
        <v>CONFLICTO</v>
      </c>
    </row>
    <row r="100" spans="1:30">
      <c r="A100" t="s">
        <v>384</v>
      </c>
      <c r="B100" s="15">
        <v>46226</v>
      </c>
      <c r="C100" t="s">
        <v>107</v>
      </c>
      <c r="D100">
        <v>30</v>
      </c>
      <c r="E100" t="s">
        <v>385</v>
      </c>
      <c r="F100" t="s">
        <v>386</v>
      </c>
      <c r="G100" t="s">
        <v>48</v>
      </c>
      <c r="H100" t="s">
        <v>96</v>
      </c>
      <c r="I100" t="s">
        <v>177</v>
      </c>
      <c r="J100" t="s">
        <v>51</v>
      </c>
      <c r="K100" t="s">
        <v>141</v>
      </c>
      <c r="L100" t="s">
        <v>64</v>
      </c>
      <c r="M100" t="s">
        <v>91</v>
      </c>
      <c r="N100" s="16">
        <v>46226.6291666667</v>
      </c>
      <c r="O100" s="16">
        <v>46226.6458333333</v>
      </c>
      <c r="P100" s="16">
        <v>46226.68125</v>
      </c>
      <c r="Q100" s="16">
        <v>46226.7020833333</v>
      </c>
      <c r="R100" s="16">
        <v>46226.7125</v>
      </c>
      <c r="S100" s="16">
        <v>46226.7291666667</v>
      </c>
      <c r="T100" s="16">
        <v>46226.7541666667</v>
      </c>
      <c r="U100" s="11">
        <v>0.7</v>
      </c>
      <c r="V100" s="11">
        <v>0.85</v>
      </c>
      <c r="W100" s="11">
        <v>0.85</v>
      </c>
      <c r="X100" s="11">
        <v>0</v>
      </c>
      <c r="Y100" s="11">
        <v>8</v>
      </c>
      <c r="Z100" s="12">
        <v>0.1062</v>
      </c>
      <c r="AA100" t="s">
        <v>66</v>
      </c>
      <c r="AB100" t="s">
        <v>56</v>
      </c>
      <c r="AC100" t="s">
        <v>57</v>
      </c>
      <c r="AD100" t="str">
        <f t="shared" si="1"/>
        <v>CONFLICTO</v>
      </c>
    </row>
    <row r="101" spans="1:30">
      <c r="A101" t="s">
        <v>387</v>
      </c>
      <c r="B101" s="15">
        <v>46230</v>
      </c>
      <c r="C101" t="s">
        <v>45</v>
      </c>
      <c r="D101">
        <v>31</v>
      </c>
      <c r="E101" t="s">
        <v>388</v>
      </c>
      <c r="F101" t="s">
        <v>389</v>
      </c>
      <c r="G101" t="s">
        <v>48</v>
      </c>
      <c r="H101" t="s">
        <v>121</v>
      </c>
      <c r="I101" t="s">
        <v>84</v>
      </c>
      <c r="J101" t="s">
        <v>117</v>
      </c>
      <c r="K101" t="s">
        <v>169</v>
      </c>
      <c r="L101" t="s">
        <v>53</v>
      </c>
      <c r="M101" t="s">
        <v>54</v>
      </c>
      <c r="N101" s="16">
        <v>46230.3166666667</v>
      </c>
      <c r="O101" s="16">
        <v>46230.3333333333</v>
      </c>
      <c r="P101" s="16">
        <v>46230.60375</v>
      </c>
      <c r="Q101" s="16">
        <v>46230.6245833333</v>
      </c>
      <c r="R101" s="16">
        <v>46230.635</v>
      </c>
      <c r="S101" s="16">
        <v>46230.6516666667</v>
      </c>
      <c r="T101" s="16">
        <v>46230.6766666667</v>
      </c>
      <c r="U101" s="11">
        <v>4.5</v>
      </c>
      <c r="V101" s="11">
        <v>5.49</v>
      </c>
      <c r="W101" s="11">
        <v>5.49</v>
      </c>
      <c r="X101" s="11">
        <v>0</v>
      </c>
      <c r="Y101" s="11">
        <v>8</v>
      </c>
      <c r="Z101" s="12">
        <v>0.6863</v>
      </c>
      <c r="AA101" t="s">
        <v>55</v>
      </c>
      <c r="AB101" t="s">
        <v>56</v>
      </c>
      <c r="AC101" t="s">
        <v>57</v>
      </c>
      <c r="AD101" t="str">
        <f t="shared" si="1"/>
        <v>CONFLICTO</v>
      </c>
    </row>
    <row r="102" spans="1:30">
      <c r="A102" t="s">
        <v>390</v>
      </c>
      <c r="B102" s="15">
        <v>46227</v>
      </c>
      <c r="C102" t="s">
        <v>93</v>
      </c>
      <c r="D102">
        <v>30</v>
      </c>
      <c r="E102" t="s">
        <v>391</v>
      </c>
      <c r="F102" t="s">
        <v>392</v>
      </c>
      <c r="G102" t="s">
        <v>48</v>
      </c>
      <c r="H102" t="s">
        <v>154</v>
      </c>
      <c r="I102" t="s">
        <v>101</v>
      </c>
      <c r="J102" t="s">
        <v>51</v>
      </c>
      <c r="K102" t="s">
        <v>165</v>
      </c>
      <c r="L102" t="s">
        <v>64</v>
      </c>
      <c r="M102" t="s">
        <v>65</v>
      </c>
      <c r="N102" s="16">
        <v>46227.4</v>
      </c>
      <c r="O102" s="16">
        <v>46227.4166666667</v>
      </c>
      <c r="P102" s="16">
        <v>46227.4520833333</v>
      </c>
      <c r="Q102" s="16">
        <v>46227.4729166667</v>
      </c>
      <c r="R102" s="16">
        <v>46227.4833333333</v>
      </c>
      <c r="S102" s="16">
        <v>46227.5</v>
      </c>
      <c r="T102" s="16">
        <v>46227.525</v>
      </c>
      <c r="U102" s="11">
        <v>0.7</v>
      </c>
      <c r="V102" s="11">
        <v>0.85</v>
      </c>
      <c r="W102" s="11">
        <v>0.85</v>
      </c>
      <c r="X102" s="11">
        <v>0</v>
      </c>
      <c r="Y102" s="11">
        <v>8</v>
      </c>
      <c r="Z102" s="12">
        <v>0.1062</v>
      </c>
      <c r="AA102" t="s">
        <v>66</v>
      </c>
      <c r="AB102" t="s">
        <v>56</v>
      </c>
      <c r="AC102" t="s">
        <v>57</v>
      </c>
      <c r="AD102" t="str">
        <f t="shared" si="1"/>
        <v>CONFLICTO</v>
      </c>
    </row>
    <row r="103" spans="1:30">
      <c r="A103" t="s">
        <v>393</v>
      </c>
      <c r="B103" s="15">
        <v>46217</v>
      </c>
      <c r="C103" t="s">
        <v>88</v>
      </c>
      <c r="D103">
        <v>29</v>
      </c>
      <c r="E103" t="s">
        <v>394</v>
      </c>
      <c r="F103" t="s">
        <v>395</v>
      </c>
      <c r="G103" t="s">
        <v>48</v>
      </c>
      <c r="H103" t="s">
        <v>256</v>
      </c>
      <c r="I103" t="s">
        <v>62</v>
      </c>
      <c r="J103" t="s">
        <v>63</v>
      </c>
      <c r="K103" t="s">
        <v>141</v>
      </c>
      <c r="L103" t="s">
        <v>53</v>
      </c>
      <c r="M103" t="s">
        <v>73</v>
      </c>
      <c r="N103" s="16">
        <v>46217.5666666667</v>
      </c>
      <c r="O103" s="16">
        <v>46217.5833333333</v>
      </c>
      <c r="P103" s="16">
        <v>46217.61625</v>
      </c>
      <c r="Q103" s="16">
        <v>46217.6370833333</v>
      </c>
      <c r="R103" s="16">
        <v>46217.6475</v>
      </c>
      <c r="S103" s="16">
        <v>46217.6641666667</v>
      </c>
      <c r="T103" s="16">
        <v>46217.6891666667</v>
      </c>
      <c r="U103" s="11">
        <v>0.65</v>
      </c>
      <c r="V103" s="11">
        <v>0.79</v>
      </c>
      <c r="W103" s="11">
        <v>0.79</v>
      </c>
      <c r="X103" s="11">
        <v>0</v>
      </c>
      <c r="Y103" s="11">
        <v>8</v>
      </c>
      <c r="Z103" s="12">
        <v>0.0988</v>
      </c>
      <c r="AA103" t="s">
        <v>66</v>
      </c>
      <c r="AB103" t="s">
        <v>56</v>
      </c>
      <c r="AC103" t="s">
        <v>57</v>
      </c>
      <c r="AD103" t="str">
        <f t="shared" si="1"/>
        <v>OK</v>
      </c>
    </row>
    <row r="104" spans="1:30">
      <c r="A104" t="s">
        <v>396</v>
      </c>
      <c r="B104" s="15">
        <v>46224</v>
      </c>
      <c r="C104" t="s">
        <v>88</v>
      </c>
      <c r="D104">
        <v>30</v>
      </c>
      <c r="E104" t="s">
        <v>397</v>
      </c>
      <c r="F104" t="s">
        <v>398</v>
      </c>
      <c r="G104" t="s">
        <v>48</v>
      </c>
      <c r="H104" t="s">
        <v>173</v>
      </c>
      <c r="I104" t="s">
        <v>101</v>
      </c>
      <c r="J104" t="s">
        <v>63</v>
      </c>
      <c r="K104" t="s">
        <v>141</v>
      </c>
      <c r="L104" t="s">
        <v>64</v>
      </c>
      <c r="M104" t="s">
        <v>79</v>
      </c>
      <c r="N104" s="16">
        <v>46224.6291666667</v>
      </c>
      <c r="O104" s="16">
        <v>46224.6458333333</v>
      </c>
      <c r="P104" s="16">
        <v>46224.68125</v>
      </c>
      <c r="Q104" s="16">
        <v>46224.7020833333</v>
      </c>
      <c r="R104" s="16">
        <v>46224.7125</v>
      </c>
      <c r="S104" s="16">
        <v>46224.7291666667</v>
      </c>
      <c r="T104" s="16">
        <v>46224.7541666667</v>
      </c>
      <c r="U104" s="11">
        <v>0.7</v>
      </c>
      <c r="V104" s="11">
        <v>0.85</v>
      </c>
      <c r="W104" s="11">
        <v>0.85</v>
      </c>
      <c r="X104" s="11">
        <v>0</v>
      </c>
      <c r="Y104" s="11">
        <v>8</v>
      </c>
      <c r="Z104" s="12">
        <v>0.1062</v>
      </c>
      <c r="AA104" t="s">
        <v>66</v>
      </c>
      <c r="AB104" t="s">
        <v>56</v>
      </c>
      <c r="AC104" t="s">
        <v>57</v>
      </c>
      <c r="AD104" t="str">
        <f t="shared" si="1"/>
        <v>CONFLICTO</v>
      </c>
    </row>
    <row r="105" spans="1:30">
      <c r="A105" t="s">
        <v>399</v>
      </c>
      <c r="B105" s="15">
        <v>46220</v>
      </c>
      <c r="C105" t="s">
        <v>93</v>
      </c>
      <c r="D105">
        <v>29</v>
      </c>
      <c r="E105" t="s">
        <v>400</v>
      </c>
      <c r="F105" t="s">
        <v>401</v>
      </c>
      <c r="G105" t="s">
        <v>48</v>
      </c>
      <c r="H105" t="s">
        <v>71</v>
      </c>
      <c r="I105" t="s">
        <v>77</v>
      </c>
      <c r="J105" t="s">
        <v>63</v>
      </c>
      <c r="K105" t="s">
        <v>169</v>
      </c>
      <c r="L105" t="s">
        <v>53</v>
      </c>
      <c r="M105" t="s">
        <v>86</v>
      </c>
      <c r="N105" s="16">
        <v>46220.3166666667</v>
      </c>
      <c r="O105" s="16">
        <v>46220.3333333333</v>
      </c>
      <c r="P105" s="16">
        <v>46220.3766666667</v>
      </c>
      <c r="Q105" s="16">
        <v>46220.3975</v>
      </c>
      <c r="R105" s="16">
        <v>46220.4079166667</v>
      </c>
      <c r="S105" s="16">
        <v>46220.4245833333</v>
      </c>
      <c r="T105" s="16">
        <v>46220.4495833333</v>
      </c>
      <c r="U105" s="11">
        <v>0.85</v>
      </c>
      <c r="V105" s="11">
        <v>1.04</v>
      </c>
      <c r="W105" s="11">
        <v>1.04</v>
      </c>
      <c r="X105" s="11">
        <v>0</v>
      </c>
      <c r="Y105" s="11">
        <v>8</v>
      </c>
      <c r="Z105" s="12">
        <v>0.13</v>
      </c>
      <c r="AA105" t="s">
        <v>66</v>
      </c>
      <c r="AB105" t="s">
        <v>56</v>
      </c>
      <c r="AC105" t="s">
        <v>57</v>
      </c>
      <c r="AD105" t="str">
        <f t="shared" si="1"/>
        <v>OK</v>
      </c>
    </row>
    <row r="106" spans="1:30">
      <c r="A106" t="s">
        <v>402</v>
      </c>
      <c r="B106" s="15">
        <v>46223</v>
      </c>
      <c r="C106" t="s">
        <v>45</v>
      </c>
      <c r="D106">
        <v>30</v>
      </c>
      <c r="E106" t="s">
        <v>403</v>
      </c>
      <c r="F106" t="s">
        <v>404</v>
      </c>
      <c r="G106" t="s">
        <v>48</v>
      </c>
      <c r="H106" t="s">
        <v>121</v>
      </c>
      <c r="I106" t="s">
        <v>101</v>
      </c>
      <c r="J106" t="s">
        <v>117</v>
      </c>
      <c r="K106" t="s">
        <v>141</v>
      </c>
      <c r="L106" t="s">
        <v>64</v>
      </c>
      <c r="M106" t="s">
        <v>91</v>
      </c>
      <c r="N106" s="16">
        <v>46223.4</v>
      </c>
      <c r="O106" s="16">
        <v>46223.4166666667</v>
      </c>
      <c r="P106" s="16">
        <v>46223.4520833333</v>
      </c>
      <c r="Q106" s="16">
        <v>46223.4729166667</v>
      </c>
      <c r="R106" s="16">
        <v>46223.4833333333</v>
      </c>
      <c r="S106" s="16">
        <v>46223.5</v>
      </c>
      <c r="T106" s="16">
        <v>46223.525</v>
      </c>
      <c r="U106" s="11">
        <v>0.7</v>
      </c>
      <c r="V106" s="11">
        <v>0.85</v>
      </c>
      <c r="W106" s="11">
        <v>0.85</v>
      </c>
      <c r="X106" s="11">
        <v>0</v>
      </c>
      <c r="Y106" s="11">
        <v>8</v>
      </c>
      <c r="Z106" s="12">
        <v>0.1062</v>
      </c>
      <c r="AA106" t="s">
        <v>66</v>
      </c>
      <c r="AB106" t="s">
        <v>56</v>
      </c>
      <c r="AC106" t="s">
        <v>57</v>
      </c>
      <c r="AD106" t="str">
        <f t="shared" si="1"/>
        <v>CONFLICTO</v>
      </c>
    </row>
    <row r="107" spans="1:30">
      <c r="A107" t="s">
        <v>405</v>
      </c>
      <c r="B107" s="15">
        <v>46220</v>
      </c>
      <c r="C107" t="s">
        <v>93</v>
      </c>
      <c r="D107">
        <v>29</v>
      </c>
      <c r="E107" t="s">
        <v>406</v>
      </c>
      <c r="F107" t="s">
        <v>407</v>
      </c>
      <c r="G107" t="s">
        <v>48</v>
      </c>
      <c r="H107" t="s">
        <v>281</v>
      </c>
      <c r="I107" t="s">
        <v>329</v>
      </c>
      <c r="J107" t="s">
        <v>51</v>
      </c>
      <c r="K107" t="s">
        <v>105</v>
      </c>
      <c r="L107" t="s">
        <v>53</v>
      </c>
      <c r="M107" t="s">
        <v>54</v>
      </c>
      <c r="N107" s="16">
        <v>46220.5666666667</v>
      </c>
      <c r="O107" s="16">
        <v>46220.5833333333</v>
      </c>
      <c r="P107" s="16">
        <v>46220.7508333333</v>
      </c>
      <c r="Q107" s="16">
        <v>46220.7716666667</v>
      </c>
      <c r="R107" s="16">
        <v>46220.7820833333</v>
      </c>
      <c r="S107" s="16">
        <v>46220.79875</v>
      </c>
      <c r="T107" s="16">
        <v>46220.82375</v>
      </c>
      <c r="U107" s="11">
        <v>3.3</v>
      </c>
      <c r="V107" s="11">
        <v>4.02</v>
      </c>
      <c r="W107" s="11">
        <v>3.5</v>
      </c>
      <c r="X107" s="11">
        <v>0.52</v>
      </c>
      <c r="Y107" s="11">
        <v>8</v>
      </c>
      <c r="Z107" s="12">
        <v>0.5025</v>
      </c>
      <c r="AA107" t="s">
        <v>66</v>
      </c>
      <c r="AB107" t="s">
        <v>56</v>
      </c>
      <c r="AC107" t="s">
        <v>57</v>
      </c>
      <c r="AD107" t="str">
        <f t="shared" si="1"/>
        <v>CONFLICTO</v>
      </c>
    </row>
    <row r="108" spans="1:30">
      <c r="A108" t="s">
        <v>408</v>
      </c>
      <c r="B108" s="15">
        <v>46219</v>
      </c>
      <c r="C108" t="s">
        <v>107</v>
      </c>
      <c r="D108">
        <v>29</v>
      </c>
      <c r="E108" t="s">
        <v>409</v>
      </c>
      <c r="F108" t="s">
        <v>410</v>
      </c>
      <c r="G108" t="s">
        <v>48</v>
      </c>
      <c r="H108" t="s">
        <v>100</v>
      </c>
      <c r="I108" t="s">
        <v>77</v>
      </c>
      <c r="J108" t="s">
        <v>63</v>
      </c>
      <c r="K108" t="s">
        <v>141</v>
      </c>
      <c r="L108" t="s">
        <v>64</v>
      </c>
      <c r="M108" t="s">
        <v>65</v>
      </c>
      <c r="N108" s="16">
        <v>46219.6291666667</v>
      </c>
      <c r="O108" s="16">
        <v>46219.6458333333</v>
      </c>
      <c r="P108" s="16">
        <v>46219.6891666667</v>
      </c>
      <c r="Q108" s="16">
        <v>46219.71</v>
      </c>
      <c r="R108" s="16">
        <v>46219.7204166667</v>
      </c>
      <c r="S108" s="16">
        <v>46219.7370833333</v>
      </c>
      <c r="T108" s="16">
        <v>46219.7620833333</v>
      </c>
      <c r="U108" s="11">
        <v>0.85</v>
      </c>
      <c r="V108" s="11">
        <v>1.04</v>
      </c>
      <c r="W108" s="11">
        <v>1.04</v>
      </c>
      <c r="X108" s="11">
        <v>0</v>
      </c>
      <c r="Y108" s="11">
        <v>8</v>
      </c>
      <c r="Z108" s="12">
        <v>0.13</v>
      </c>
      <c r="AA108" t="s">
        <v>66</v>
      </c>
      <c r="AB108" t="s">
        <v>56</v>
      </c>
      <c r="AC108" t="s">
        <v>57</v>
      </c>
      <c r="AD108" t="str">
        <f t="shared" si="1"/>
        <v>OK</v>
      </c>
    </row>
    <row r="109" spans="1:30">
      <c r="A109" t="s">
        <v>411</v>
      </c>
      <c r="B109" s="15">
        <v>46224</v>
      </c>
      <c r="C109" t="s">
        <v>88</v>
      </c>
      <c r="D109">
        <v>30</v>
      </c>
      <c r="E109" t="s">
        <v>412</v>
      </c>
      <c r="F109" t="s">
        <v>413</v>
      </c>
      <c r="G109" t="s">
        <v>48</v>
      </c>
      <c r="H109" t="s">
        <v>100</v>
      </c>
      <c r="I109" t="s">
        <v>184</v>
      </c>
      <c r="J109" t="s">
        <v>85</v>
      </c>
      <c r="K109" t="s">
        <v>52</v>
      </c>
      <c r="L109" t="s">
        <v>53</v>
      </c>
      <c r="M109" t="s">
        <v>73</v>
      </c>
      <c r="N109" s="16">
        <v>46224.3166666667</v>
      </c>
      <c r="O109" s="16">
        <v>46224.3333333333</v>
      </c>
      <c r="P109" s="16">
        <v>46224.5416666667</v>
      </c>
      <c r="Q109" s="16">
        <v>46224.5625</v>
      </c>
      <c r="R109" s="16">
        <v>46224.5729166667</v>
      </c>
      <c r="S109" s="16">
        <v>46224.5895833333</v>
      </c>
      <c r="T109" s="16">
        <v>46224.6145833333</v>
      </c>
      <c r="U109" s="11">
        <v>4.1</v>
      </c>
      <c r="V109" s="11">
        <v>5</v>
      </c>
      <c r="W109" s="11">
        <v>5</v>
      </c>
      <c r="X109" s="11">
        <v>0</v>
      </c>
      <c r="Y109" s="11">
        <v>8</v>
      </c>
      <c r="Z109" s="12">
        <v>0.625</v>
      </c>
      <c r="AA109" t="s">
        <v>55</v>
      </c>
      <c r="AB109" t="s">
        <v>56</v>
      </c>
      <c r="AC109" t="s">
        <v>57</v>
      </c>
      <c r="AD109" t="str">
        <f t="shared" si="1"/>
        <v>CONFLICTO</v>
      </c>
    </row>
    <row r="110" spans="1:30">
      <c r="A110" t="s">
        <v>414</v>
      </c>
      <c r="B110" s="15">
        <v>46223</v>
      </c>
      <c r="C110" t="s">
        <v>45</v>
      </c>
      <c r="D110">
        <v>30</v>
      </c>
      <c r="E110" t="s">
        <v>415</v>
      </c>
      <c r="F110" t="s">
        <v>416</v>
      </c>
      <c r="G110" t="s">
        <v>48</v>
      </c>
      <c r="H110" t="s">
        <v>154</v>
      </c>
      <c r="I110" t="s">
        <v>72</v>
      </c>
      <c r="J110" t="s">
        <v>63</v>
      </c>
      <c r="K110" t="s">
        <v>169</v>
      </c>
      <c r="L110" t="s">
        <v>64</v>
      </c>
      <c r="M110" t="s">
        <v>79</v>
      </c>
      <c r="N110" s="16">
        <v>46223.4</v>
      </c>
      <c r="O110" s="16">
        <v>46223.4166666667</v>
      </c>
      <c r="P110" s="16">
        <v>46223.4445833333</v>
      </c>
      <c r="Q110" s="16">
        <v>46223.4654166667</v>
      </c>
      <c r="R110" s="16">
        <v>46223.4758333333</v>
      </c>
      <c r="S110" s="16">
        <v>46223.4925</v>
      </c>
      <c r="T110" s="16">
        <v>46223.5175</v>
      </c>
      <c r="U110" s="11">
        <v>0.55</v>
      </c>
      <c r="V110" s="11">
        <v>0.67</v>
      </c>
      <c r="W110" s="11">
        <v>0.67</v>
      </c>
      <c r="X110" s="11">
        <v>0</v>
      </c>
      <c r="Y110" s="11">
        <v>8</v>
      </c>
      <c r="Z110" s="12">
        <v>0.0838</v>
      </c>
      <c r="AA110" t="s">
        <v>66</v>
      </c>
      <c r="AB110" t="s">
        <v>56</v>
      </c>
      <c r="AC110" t="s">
        <v>57</v>
      </c>
      <c r="AD110" t="str">
        <f t="shared" si="1"/>
        <v>OK</v>
      </c>
    </row>
    <row r="111" spans="1:30">
      <c r="A111" t="s">
        <v>417</v>
      </c>
      <c r="B111" s="15">
        <v>46227</v>
      </c>
      <c r="C111" t="s">
        <v>93</v>
      </c>
      <c r="D111">
        <v>30</v>
      </c>
      <c r="E111" t="s">
        <v>418</v>
      </c>
      <c r="F111" t="s">
        <v>419</v>
      </c>
      <c r="G111" t="s">
        <v>48</v>
      </c>
      <c r="H111" t="s">
        <v>100</v>
      </c>
      <c r="I111" t="s">
        <v>329</v>
      </c>
      <c r="J111" t="s">
        <v>63</v>
      </c>
      <c r="K111" t="s">
        <v>169</v>
      </c>
      <c r="L111" t="s">
        <v>53</v>
      </c>
      <c r="M111" t="s">
        <v>86</v>
      </c>
      <c r="N111" s="16">
        <v>46227.5666666667</v>
      </c>
      <c r="O111" s="16">
        <v>46227.5833333333</v>
      </c>
      <c r="P111" s="16">
        <v>46227.7508333333</v>
      </c>
      <c r="Q111" s="16">
        <v>46227.7716666667</v>
      </c>
      <c r="R111" s="16">
        <v>46227.7820833333</v>
      </c>
      <c r="S111" s="16">
        <v>46227.79875</v>
      </c>
      <c r="T111" s="16">
        <v>46227.82375</v>
      </c>
      <c r="U111" s="11">
        <v>3.3</v>
      </c>
      <c r="V111" s="11">
        <v>4.02</v>
      </c>
      <c r="W111" s="11">
        <v>3.5</v>
      </c>
      <c r="X111" s="11">
        <v>0.52</v>
      </c>
      <c r="Y111" s="11">
        <v>8</v>
      </c>
      <c r="Z111" s="12">
        <v>0.5025</v>
      </c>
      <c r="AA111" t="s">
        <v>66</v>
      </c>
      <c r="AB111" t="s">
        <v>56</v>
      </c>
      <c r="AC111" t="s">
        <v>57</v>
      </c>
      <c r="AD111" t="str">
        <f t="shared" si="1"/>
        <v>CONFLICTO</v>
      </c>
    </row>
    <row r="112" spans="1:30">
      <c r="A112" t="s">
        <v>420</v>
      </c>
      <c r="B112" s="15">
        <v>46226</v>
      </c>
      <c r="C112" t="s">
        <v>107</v>
      </c>
      <c r="D112">
        <v>30</v>
      </c>
      <c r="E112" t="s">
        <v>421</v>
      </c>
      <c r="F112" t="s">
        <v>422</v>
      </c>
      <c r="G112" t="s">
        <v>48</v>
      </c>
      <c r="H112" t="s">
        <v>96</v>
      </c>
      <c r="I112" t="s">
        <v>177</v>
      </c>
      <c r="J112" t="s">
        <v>51</v>
      </c>
      <c r="K112" t="s">
        <v>105</v>
      </c>
      <c r="L112" t="s">
        <v>64</v>
      </c>
      <c r="M112" t="s">
        <v>91</v>
      </c>
      <c r="N112" s="16">
        <v>46226.6291666667</v>
      </c>
      <c r="O112" s="16">
        <v>46226.6458333333</v>
      </c>
      <c r="P112" s="16">
        <v>46226.68125</v>
      </c>
      <c r="Q112" s="16">
        <v>46226.7020833333</v>
      </c>
      <c r="R112" s="16">
        <v>46226.7125</v>
      </c>
      <c r="S112" s="16">
        <v>46226.7291666667</v>
      </c>
      <c r="T112" s="16">
        <v>46226.7541666667</v>
      </c>
      <c r="U112" s="11">
        <v>0.7</v>
      </c>
      <c r="V112" s="11">
        <v>0.85</v>
      </c>
      <c r="W112" s="11">
        <v>0.85</v>
      </c>
      <c r="X112" s="11">
        <v>0</v>
      </c>
      <c r="Y112" s="11">
        <v>8</v>
      </c>
      <c r="Z112" s="12">
        <v>0.1062</v>
      </c>
      <c r="AA112" t="s">
        <v>66</v>
      </c>
      <c r="AB112" t="s">
        <v>56</v>
      </c>
      <c r="AC112" t="s">
        <v>57</v>
      </c>
      <c r="AD112" t="str">
        <f t="shared" si="1"/>
        <v>CONFLICTO</v>
      </c>
    </row>
    <row r="113" spans="1:30">
      <c r="A113" t="s">
        <v>423</v>
      </c>
      <c r="B113" s="15">
        <v>46224</v>
      </c>
      <c r="C113" t="s">
        <v>88</v>
      </c>
      <c r="D113">
        <v>30</v>
      </c>
      <c r="E113" t="s">
        <v>424</v>
      </c>
      <c r="F113" t="s">
        <v>425</v>
      </c>
      <c r="G113" t="s">
        <v>48</v>
      </c>
      <c r="H113" t="s">
        <v>173</v>
      </c>
      <c r="I113" t="s">
        <v>101</v>
      </c>
      <c r="J113" t="s">
        <v>85</v>
      </c>
      <c r="K113" t="s">
        <v>165</v>
      </c>
      <c r="L113" t="s">
        <v>53</v>
      </c>
      <c r="M113" t="s">
        <v>54</v>
      </c>
      <c r="N113" s="16">
        <v>46224.3166666667</v>
      </c>
      <c r="O113" s="16">
        <v>46224.3333333333</v>
      </c>
      <c r="P113" s="16">
        <v>46224.36875</v>
      </c>
      <c r="Q113" s="16">
        <v>46224.3895833333</v>
      </c>
      <c r="R113" s="16">
        <v>46224.4</v>
      </c>
      <c r="S113" s="16">
        <v>46224.4166666667</v>
      </c>
      <c r="T113" s="16">
        <v>46224.4416666667</v>
      </c>
      <c r="U113" s="11">
        <v>0.7</v>
      </c>
      <c r="V113" s="11">
        <v>0.85</v>
      </c>
      <c r="W113" s="11">
        <v>0.85</v>
      </c>
      <c r="X113" s="11">
        <v>0</v>
      </c>
      <c r="Y113" s="11">
        <v>8</v>
      </c>
      <c r="Z113" s="12">
        <v>0.1062</v>
      </c>
      <c r="AA113" t="s">
        <v>66</v>
      </c>
      <c r="AB113" t="s">
        <v>56</v>
      </c>
      <c r="AC113" t="s">
        <v>57</v>
      </c>
      <c r="AD113" t="str">
        <f t="shared" si="1"/>
        <v>CONFLICTO</v>
      </c>
    </row>
    <row r="114" spans="1:30">
      <c r="A114" t="s">
        <v>426</v>
      </c>
      <c r="B114" s="15">
        <v>46227</v>
      </c>
      <c r="C114" t="s">
        <v>93</v>
      </c>
      <c r="D114">
        <v>30</v>
      </c>
      <c r="E114" t="s">
        <v>427</v>
      </c>
      <c r="F114" t="s">
        <v>428</v>
      </c>
      <c r="G114" t="s">
        <v>48</v>
      </c>
      <c r="H114" t="s">
        <v>116</v>
      </c>
      <c r="I114" t="s">
        <v>177</v>
      </c>
      <c r="J114" t="s">
        <v>51</v>
      </c>
      <c r="K114" t="s">
        <v>105</v>
      </c>
      <c r="L114" t="s">
        <v>64</v>
      </c>
      <c r="M114" t="s">
        <v>65</v>
      </c>
      <c r="N114" s="16">
        <v>46227.4</v>
      </c>
      <c r="O114" s="16">
        <v>46227.4166666667</v>
      </c>
      <c r="P114" s="16">
        <v>46227.4520833333</v>
      </c>
      <c r="Q114" s="16">
        <v>46227.4729166667</v>
      </c>
      <c r="R114" s="16">
        <v>46227.4833333333</v>
      </c>
      <c r="S114" s="16">
        <v>46227.5</v>
      </c>
      <c r="T114" s="16">
        <v>46227.525</v>
      </c>
      <c r="U114" s="11">
        <v>0.7</v>
      </c>
      <c r="V114" s="11">
        <v>0.85</v>
      </c>
      <c r="W114" s="11">
        <v>0.85</v>
      </c>
      <c r="X114" s="11">
        <v>0</v>
      </c>
      <c r="Y114" s="11">
        <v>8</v>
      </c>
      <c r="Z114" s="12">
        <v>0.1062</v>
      </c>
      <c r="AA114" t="s">
        <v>66</v>
      </c>
      <c r="AB114" t="s">
        <v>56</v>
      </c>
      <c r="AC114" t="s">
        <v>57</v>
      </c>
      <c r="AD114" t="str">
        <f t="shared" si="1"/>
        <v>CONFLICTO</v>
      </c>
    </row>
    <row r="115" spans="1:30">
      <c r="A115" t="s">
        <v>429</v>
      </c>
      <c r="B115" s="15">
        <v>46230</v>
      </c>
      <c r="C115" t="s">
        <v>45</v>
      </c>
      <c r="D115">
        <v>31</v>
      </c>
      <c r="E115" t="s">
        <v>430</v>
      </c>
      <c r="F115" t="s">
        <v>431</v>
      </c>
      <c r="G115" t="s">
        <v>48</v>
      </c>
      <c r="H115" t="s">
        <v>154</v>
      </c>
      <c r="I115" t="s">
        <v>122</v>
      </c>
      <c r="J115" t="s">
        <v>63</v>
      </c>
      <c r="K115" t="s">
        <v>105</v>
      </c>
      <c r="L115" t="s">
        <v>53</v>
      </c>
      <c r="M115" t="s">
        <v>73</v>
      </c>
      <c r="N115" s="16">
        <v>46230.5666666667</v>
      </c>
      <c r="O115" s="16">
        <v>46230.5833333333</v>
      </c>
      <c r="P115" s="16">
        <v>46230.7816666667</v>
      </c>
      <c r="Q115" s="16">
        <v>46230.8025</v>
      </c>
      <c r="R115" s="16">
        <v>46230.8129166667</v>
      </c>
      <c r="S115" s="16">
        <v>46230.8295833333</v>
      </c>
      <c r="T115" s="16">
        <v>46230.8545833333</v>
      </c>
      <c r="U115" s="11">
        <v>3.9</v>
      </c>
      <c r="V115" s="11">
        <v>4.76</v>
      </c>
      <c r="W115" s="11">
        <v>3.5</v>
      </c>
      <c r="X115" s="11">
        <v>1.26</v>
      </c>
      <c r="Y115" s="11">
        <v>8</v>
      </c>
      <c r="Z115" s="12">
        <v>0.595</v>
      </c>
      <c r="AA115" t="s">
        <v>66</v>
      </c>
      <c r="AB115" t="s">
        <v>56</v>
      </c>
      <c r="AC115" t="s">
        <v>57</v>
      </c>
      <c r="AD115" t="str">
        <f t="shared" si="1"/>
        <v>CONFLICTO</v>
      </c>
    </row>
    <row r="116" spans="1:30">
      <c r="A116" t="s">
        <v>432</v>
      </c>
      <c r="B116" s="15">
        <v>46219</v>
      </c>
      <c r="C116" t="s">
        <v>107</v>
      </c>
      <c r="D116">
        <v>29</v>
      </c>
      <c r="E116" t="s">
        <v>433</v>
      </c>
      <c r="F116" t="s">
        <v>434</v>
      </c>
      <c r="G116" t="s">
        <v>48</v>
      </c>
      <c r="H116" t="s">
        <v>173</v>
      </c>
      <c r="I116" t="s">
        <v>329</v>
      </c>
      <c r="J116" t="s">
        <v>85</v>
      </c>
      <c r="K116" t="s">
        <v>78</v>
      </c>
      <c r="L116" t="s">
        <v>64</v>
      </c>
      <c r="M116" t="s">
        <v>79</v>
      </c>
      <c r="N116" s="16">
        <v>46219.6291666667</v>
      </c>
      <c r="O116" s="16">
        <v>46219.6458333333</v>
      </c>
      <c r="P116" s="16">
        <v>46219.8133333333</v>
      </c>
      <c r="Q116" s="16">
        <v>46219.8341666667</v>
      </c>
      <c r="R116" s="16">
        <v>46219.8445833333</v>
      </c>
      <c r="S116" s="16">
        <v>46219.86125</v>
      </c>
      <c r="T116" s="16">
        <v>46219.88625</v>
      </c>
      <c r="U116" s="11">
        <v>3.3</v>
      </c>
      <c r="V116" s="11">
        <v>4.02</v>
      </c>
      <c r="W116" s="11">
        <v>2</v>
      </c>
      <c r="X116" s="11">
        <v>2.02</v>
      </c>
      <c r="Y116" s="11">
        <v>8</v>
      </c>
      <c r="Z116" s="12">
        <v>0.5025</v>
      </c>
      <c r="AA116" t="s">
        <v>66</v>
      </c>
      <c r="AB116" t="s">
        <v>56</v>
      </c>
      <c r="AC116" t="s">
        <v>57</v>
      </c>
      <c r="AD116" t="str">
        <f t="shared" si="1"/>
        <v>CONFLICTO</v>
      </c>
    </row>
    <row r="117" spans="1:30">
      <c r="A117" t="s">
        <v>435</v>
      </c>
      <c r="B117" s="15">
        <v>46219</v>
      </c>
      <c r="C117" t="s">
        <v>107</v>
      </c>
      <c r="D117">
        <v>29</v>
      </c>
      <c r="E117" t="s">
        <v>436</v>
      </c>
      <c r="F117" t="s">
        <v>437</v>
      </c>
      <c r="G117" t="s">
        <v>48</v>
      </c>
      <c r="H117" t="s">
        <v>121</v>
      </c>
      <c r="I117" t="s">
        <v>184</v>
      </c>
      <c r="J117" t="s">
        <v>63</v>
      </c>
      <c r="K117" t="s">
        <v>105</v>
      </c>
      <c r="L117" t="s">
        <v>53</v>
      </c>
      <c r="M117" t="s">
        <v>86</v>
      </c>
      <c r="N117" s="16">
        <v>46219.3166666667</v>
      </c>
      <c r="O117" s="16">
        <v>46219.3333333333</v>
      </c>
      <c r="P117" s="16">
        <v>46219.5416666667</v>
      </c>
      <c r="Q117" s="16">
        <v>46219.5625</v>
      </c>
      <c r="R117" s="16">
        <v>46219.5729166667</v>
      </c>
      <c r="S117" s="16">
        <v>46219.5895833333</v>
      </c>
      <c r="T117" s="16">
        <v>46219.6145833333</v>
      </c>
      <c r="U117" s="11">
        <v>4.1</v>
      </c>
      <c r="V117" s="11">
        <v>5</v>
      </c>
      <c r="W117" s="11">
        <v>5</v>
      </c>
      <c r="X117" s="11">
        <v>0</v>
      </c>
      <c r="Y117" s="11">
        <v>8</v>
      </c>
      <c r="Z117" s="12">
        <v>0.625</v>
      </c>
      <c r="AA117" t="s">
        <v>55</v>
      </c>
      <c r="AB117" t="s">
        <v>56</v>
      </c>
      <c r="AC117" t="s">
        <v>57</v>
      </c>
      <c r="AD117" t="str">
        <f t="shared" si="1"/>
        <v>CONFLICTO</v>
      </c>
    </row>
    <row r="118" spans="1:30">
      <c r="A118" t="s">
        <v>438</v>
      </c>
      <c r="B118" s="15">
        <v>46220</v>
      </c>
      <c r="C118" t="s">
        <v>93</v>
      </c>
      <c r="D118">
        <v>29</v>
      </c>
      <c r="E118" t="s">
        <v>439</v>
      </c>
      <c r="F118" t="s">
        <v>440</v>
      </c>
      <c r="G118" t="s">
        <v>48</v>
      </c>
      <c r="H118" t="s">
        <v>216</v>
      </c>
      <c r="I118" t="s">
        <v>101</v>
      </c>
      <c r="J118" t="s">
        <v>117</v>
      </c>
      <c r="K118" t="s">
        <v>52</v>
      </c>
      <c r="L118" t="s">
        <v>64</v>
      </c>
      <c r="M118" t="s">
        <v>91</v>
      </c>
      <c r="N118" s="16">
        <v>46220.4</v>
      </c>
      <c r="O118" s="16">
        <v>46220.4166666667</v>
      </c>
      <c r="P118" s="16">
        <v>46220.4520833333</v>
      </c>
      <c r="Q118" s="16">
        <v>46220.4729166667</v>
      </c>
      <c r="R118" s="16">
        <v>46220.4833333333</v>
      </c>
      <c r="S118" s="16">
        <v>46220.5</v>
      </c>
      <c r="T118" s="16">
        <v>46220.525</v>
      </c>
      <c r="U118" s="11">
        <v>0.7</v>
      </c>
      <c r="V118" s="11">
        <v>0.85</v>
      </c>
      <c r="W118" s="11">
        <v>0.85</v>
      </c>
      <c r="X118" s="11">
        <v>0</v>
      </c>
      <c r="Y118" s="11">
        <v>8</v>
      </c>
      <c r="Z118" s="12">
        <v>0.1062</v>
      </c>
      <c r="AA118" t="s">
        <v>66</v>
      </c>
      <c r="AB118" t="s">
        <v>56</v>
      </c>
      <c r="AC118" t="s">
        <v>57</v>
      </c>
      <c r="AD118" t="str">
        <f t="shared" si="1"/>
        <v>CONFLICTO</v>
      </c>
    </row>
    <row r="119" spans="1:30">
      <c r="A119" t="s">
        <v>441</v>
      </c>
      <c r="B119" s="15">
        <v>46223</v>
      </c>
      <c r="C119" t="s">
        <v>45</v>
      </c>
      <c r="D119">
        <v>30</v>
      </c>
      <c r="E119" t="s">
        <v>442</v>
      </c>
      <c r="F119" t="s">
        <v>443</v>
      </c>
      <c r="G119" t="s">
        <v>48</v>
      </c>
      <c r="H119" t="s">
        <v>96</v>
      </c>
      <c r="I119" t="s">
        <v>184</v>
      </c>
      <c r="J119" t="s">
        <v>51</v>
      </c>
      <c r="K119" t="s">
        <v>169</v>
      </c>
      <c r="L119" t="s">
        <v>53</v>
      </c>
      <c r="M119" t="s">
        <v>54</v>
      </c>
      <c r="N119" s="16">
        <v>46223.5666666667</v>
      </c>
      <c r="O119" s="16">
        <v>46223.5833333333</v>
      </c>
      <c r="P119" s="16">
        <v>46223.7916666667</v>
      </c>
      <c r="Q119" s="16">
        <v>46223.8125</v>
      </c>
      <c r="R119" s="16">
        <v>46223.8229166667</v>
      </c>
      <c r="S119" s="16">
        <v>46223.8395833333</v>
      </c>
      <c r="T119" s="16">
        <v>46223.8645833333</v>
      </c>
      <c r="U119" s="11">
        <v>4.1</v>
      </c>
      <c r="V119" s="11">
        <v>5</v>
      </c>
      <c r="W119" s="11">
        <v>3.5</v>
      </c>
      <c r="X119" s="11">
        <v>1.5</v>
      </c>
      <c r="Y119" s="11">
        <v>8</v>
      </c>
      <c r="Z119" s="12">
        <v>0.625</v>
      </c>
      <c r="AA119" t="s">
        <v>55</v>
      </c>
      <c r="AB119" t="s">
        <v>56</v>
      </c>
      <c r="AC119" t="s">
        <v>57</v>
      </c>
      <c r="AD119" t="str">
        <f t="shared" si="1"/>
        <v>CONFLICTO</v>
      </c>
    </row>
    <row r="120" spans="1:30">
      <c r="A120" t="s">
        <v>444</v>
      </c>
      <c r="B120" s="15">
        <v>46219</v>
      </c>
      <c r="C120" t="s">
        <v>107</v>
      </c>
      <c r="D120">
        <v>29</v>
      </c>
      <c r="E120" t="s">
        <v>445</v>
      </c>
      <c r="F120" t="s">
        <v>446</v>
      </c>
      <c r="G120" t="s">
        <v>48</v>
      </c>
      <c r="H120" t="s">
        <v>49</v>
      </c>
      <c r="I120" t="s">
        <v>329</v>
      </c>
      <c r="J120" t="s">
        <v>85</v>
      </c>
      <c r="K120" t="s">
        <v>165</v>
      </c>
      <c r="L120" t="s">
        <v>64</v>
      </c>
      <c r="M120" t="s">
        <v>65</v>
      </c>
      <c r="N120" s="16">
        <v>46219.6291666667</v>
      </c>
      <c r="O120" s="16">
        <v>46219.6458333333</v>
      </c>
      <c r="P120" s="16">
        <v>46219.8133333333</v>
      </c>
      <c r="Q120" s="16">
        <v>46219.8341666667</v>
      </c>
      <c r="R120" s="16">
        <v>46219.8445833333</v>
      </c>
      <c r="S120" s="16">
        <v>46219.86125</v>
      </c>
      <c r="T120" s="16">
        <v>46219.88625</v>
      </c>
      <c r="U120" s="11">
        <v>3.3</v>
      </c>
      <c r="V120" s="11">
        <v>4.02</v>
      </c>
      <c r="W120" s="11">
        <v>2</v>
      </c>
      <c r="X120" s="11">
        <v>2.02</v>
      </c>
      <c r="Y120" s="11">
        <v>8</v>
      </c>
      <c r="Z120" s="12">
        <v>0.5025</v>
      </c>
      <c r="AA120" t="s">
        <v>66</v>
      </c>
      <c r="AB120" t="s">
        <v>56</v>
      </c>
      <c r="AC120" t="s">
        <v>57</v>
      </c>
      <c r="AD120" t="str">
        <f t="shared" si="1"/>
        <v>CONFLICTO</v>
      </c>
    </row>
    <row r="121" spans="1:30">
      <c r="A121" t="s">
        <v>447</v>
      </c>
      <c r="B121" s="15">
        <v>46217</v>
      </c>
      <c r="C121" t="s">
        <v>88</v>
      </c>
      <c r="D121">
        <v>29</v>
      </c>
      <c r="E121" t="s">
        <v>448</v>
      </c>
      <c r="F121" t="s">
        <v>449</v>
      </c>
      <c r="G121" t="s">
        <v>48</v>
      </c>
      <c r="H121" t="s">
        <v>281</v>
      </c>
      <c r="I121" t="s">
        <v>84</v>
      </c>
      <c r="J121" t="s">
        <v>51</v>
      </c>
      <c r="K121" t="s">
        <v>169</v>
      </c>
      <c r="L121" t="s">
        <v>53</v>
      </c>
      <c r="M121" t="s">
        <v>73</v>
      </c>
      <c r="N121" s="16">
        <v>46217.3166666667</v>
      </c>
      <c r="O121" s="16">
        <v>46217.3333333333</v>
      </c>
      <c r="P121" s="16">
        <v>46217.60375</v>
      </c>
      <c r="Q121" s="16">
        <v>46217.6245833333</v>
      </c>
      <c r="R121" s="16">
        <v>46217.635</v>
      </c>
      <c r="S121" s="16">
        <v>46217.6516666667</v>
      </c>
      <c r="T121" s="16">
        <v>46217.6766666667</v>
      </c>
      <c r="U121" s="11">
        <v>4.5</v>
      </c>
      <c r="V121" s="11">
        <v>5.49</v>
      </c>
      <c r="W121" s="11">
        <v>5.49</v>
      </c>
      <c r="X121" s="11">
        <v>0</v>
      </c>
      <c r="Y121" s="11">
        <v>8</v>
      </c>
      <c r="Z121" s="12">
        <v>0.6863</v>
      </c>
      <c r="AA121" t="s">
        <v>55</v>
      </c>
      <c r="AB121" t="s">
        <v>56</v>
      </c>
      <c r="AC121" t="s">
        <v>57</v>
      </c>
      <c r="AD121" t="str">
        <f t="shared" si="1"/>
        <v>CONFLICTO</v>
      </c>
    </row>
    <row r="122" spans="1:30">
      <c r="A122" t="s">
        <v>450</v>
      </c>
      <c r="B122" s="15">
        <v>46230</v>
      </c>
      <c r="C122" t="s">
        <v>45</v>
      </c>
      <c r="D122">
        <v>31</v>
      </c>
      <c r="E122" t="s">
        <v>451</v>
      </c>
      <c r="F122" t="s">
        <v>452</v>
      </c>
      <c r="G122" t="s">
        <v>48</v>
      </c>
      <c r="H122" t="s">
        <v>71</v>
      </c>
      <c r="I122" t="s">
        <v>158</v>
      </c>
      <c r="J122" t="s">
        <v>297</v>
      </c>
      <c r="K122" t="s">
        <v>52</v>
      </c>
      <c r="L122" t="s">
        <v>64</v>
      </c>
      <c r="M122" t="s">
        <v>79</v>
      </c>
      <c r="N122" s="16">
        <v>46230.4</v>
      </c>
      <c r="O122" s="16">
        <v>46230.4166666667</v>
      </c>
      <c r="P122" s="16">
        <v>46230.46</v>
      </c>
      <c r="Q122" s="16">
        <v>46230.4808333333</v>
      </c>
      <c r="R122" s="16">
        <v>46230.49125</v>
      </c>
      <c r="S122" s="16">
        <v>46230.5079166667</v>
      </c>
      <c r="T122" s="16">
        <v>46230.5329166667</v>
      </c>
      <c r="U122" s="11">
        <v>0.85</v>
      </c>
      <c r="V122" s="11">
        <v>1.04</v>
      </c>
      <c r="W122" s="11">
        <v>1.04</v>
      </c>
      <c r="X122" s="11">
        <v>0</v>
      </c>
      <c r="Y122" s="11">
        <v>8</v>
      </c>
      <c r="Z122" s="12">
        <v>0.13</v>
      </c>
      <c r="AA122" t="s">
        <v>66</v>
      </c>
      <c r="AB122" t="s">
        <v>56</v>
      </c>
      <c r="AC122" t="s">
        <v>298</v>
      </c>
      <c r="AD122" t="str">
        <f t="shared" si="1"/>
        <v>CONFLICTO</v>
      </c>
    </row>
    <row r="123" spans="1:30">
      <c r="A123" t="s">
        <v>453</v>
      </c>
      <c r="B123" s="15">
        <v>46226</v>
      </c>
      <c r="C123" t="s">
        <v>107</v>
      </c>
      <c r="D123">
        <v>30</v>
      </c>
      <c r="E123" t="s">
        <v>454</v>
      </c>
      <c r="F123" t="s">
        <v>455</v>
      </c>
      <c r="G123" t="s">
        <v>48</v>
      </c>
      <c r="H123" t="s">
        <v>216</v>
      </c>
      <c r="I123" t="s">
        <v>101</v>
      </c>
      <c r="J123" t="s">
        <v>51</v>
      </c>
      <c r="K123" t="s">
        <v>141</v>
      </c>
      <c r="L123" t="s">
        <v>53</v>
      </c>
      <c r="M123" t="s">
        <v>86</v>
      </c>
      <c r="N123" s="16">
        <v>46226.5666666667</v>
      </c>
      <c r="O123" s="16">
        <v>46226.5833333333</v>
      </c>
      <c r="P123" s="16">
        <v>46226.61875</v>
      </c>
      <c r="Q123" s="16">
        <v>46226.6395833333</v>
      </c>
      <c r="R123" s="16">
        <v>46226.65</v>
      </c>
      <c r="S123" s="16">
        <v>46226.6666666667</v>
      </c>
      <c r="T123" s="16">
        <v>46226.6916666667</v>
      </c>
      <c r="U123" s="11">
        <v>0.7</v>
      </c>
      <c r="V123" s="11">
        <v>0.85</v>
      </c>
      <c r="W123" s="11">
        <v>0.85</v>
      </c>
      <c r="X123" s="11">
        <v>0</v>
      </c>
      <c r="Y123" s="11">
        <v>8</v>
      </c>
      <c r="Z123" s="12">
        <v>0.1062</v>
      </c>
      <c r="AA123" t="s">
        <v>66</v>
      </c>
      <c r="AB123" t="s">
        <v>56</v>
      </c>
      <c r="AC123" t="s">
        <v>57</v>
      </c>
      <c r="AD123" t="str">
        <f t="shared" si="1"/>
        <v>CONFLICTO</v>
      </c>
    </row>
    <row r="124" spans="1:30">
      <c r="A124" t="s">
        <v>456</v>
      </c>
      <c r="B124" s="15">
        <v>46220</v>
      </c>
      <c r="C124" t="s">
        <v>93</v>
      </c>
      <c r="D124">
        <v>29</v>
      </c>
      <c r="E124" t="s">
        <v>457</v>
      </c>
      <c r="F124" t="s">
        <v>458</v>
      </c>
      <c r="G124" t="s">
        <v>48</v>
      </c>
      <c r="H124" t="s">
        <v>49</v>
      </c>
      <c r="I124" t="s">
        <v>50</v>
      </c>
      <c r="J124" t="s">
        <v>63</v>
      </c>
      <c r="K124" t="s">
        <v>141</v>
      </c>
      <c r="L124" t="s">
        <v>64</v>
      </c>
      <c r="M124" t="s">
        <v>91</v>
      </c>
      <c r="N124" s="16">
        <v>46220.6291666667</v>
      </c>
      <c r="O124" s="16">
        <v>46220.6458333333</v>
      </c>
      <c r="P124" s="16">
        <v>46220.8591666667</v>
      </c>
      <c r="Q124" s="16">
        <v>46220.88</v>
      </c>
      <c r="R124" s="16">
        <v>46220.8904166667</v>
      </c>
      <c r="S124" s="16">
        <v>46220.9070833333</v>
      </c>
      <c r="T124" s="16">
        <v>46220.9320833333</v>
      </c>
      <c r="U124" s="11">
        <v>4.2</v>
      </c>
      <c r="V124" s="11">
        <v>5.12</v>
      </c>
      <c r="W124" s="11">
        <v>2.12</v>
      </c>
      <c r="X124" s="11">
        <v>3</v>
      </c>
      <c r="Y124" s="11">
        <v>8</v>
      </c>
      <c r="Z124" s="12">
        <v>0.64</v>
      </c>
      <c r="AA124" t="s">
        <v>55</v>
      </c>
      <c r="AB124" t="s">
        <v>56</v>
      </c>
      <c r="AC124" t="s">
        <v>57</v>
      </c>
      <c r="AD124" t="str">
        <f t="shared" si="1"/>
        <v>OK</v>
      </c>
    </row>
    <row r="125" spans="1:30">
      <c r="A125" t="s">
        <v>459</v>
      </c>
      <c r="B125" s="15">
        <v>46216</v>
      </c>
      <c r="C125" t="s">
        <v>45</v>
      </c>
      <c r="D125">
        <v>29</v>
      </c>
      <c r="E125" t="s">
        <v>460</v>
      </c>
      <c r="F125" t="s">
        <v>461</v>
      </c>
      <c r="G125" t="s">
        <v>48</v>
      </c>
      <c r="H125" t="s">
        <v>121</v>
      </c>
      <c r="I125" t="s">
        <v>177</v>
      </c>
      <c r="J125" t="s">
        <v>85</v>
      </c>
      <c r="K125" t="s">
        <v>165</v>
      </c>
      <c r="L125" t="s">
        <v>53</v>
      </c>
      <c r="M125" t="s">
        <v>54</v>
      </c>
      <c r="N125" s="16">
        <v>46216.3166666667</v>
      </c>
      <c r="O125" s="16">
        <v>46216.3333333333</v>
      </c>
      <c r="P125" s="16">
        <v>46216.36875</v>
      </c>
      <c r="Q125" s="16">
        <v>46216.3895833333</v>
      </c>
      <c r="R125" s="16">
        <v>46216.4</v>
      </c>
      <c r="S125" s="16">
        <v>46216.4166666667</v>
      </c>
      <c r="T125" s="16">
        <v>46216.4416666667</v>
      </c>
      <c r="U125" s="11">
        <v>0.7</v>
      </c>
      <c r="V125" s="11">
        <v>0.85</v>
      </c>
      <c r="W125" s="11">
        <v>0.85</v>
      </c>
      <c r="X125" s="11">
        <v>0</v>
      </c>
      <c r="Y125" s="11">
        <v>8</v>
      </c>
      <c r="Z125" s="12">
        <v>0.1062</v>
      </c>
      <c r="AA125" t="s">
        <v>66</v>
      </c>
      <c r="AB125" t="s">
        <v>56</v>
      </c>
      <c r="AC125" t="s">
        <v>57</v>
      </c>
      <c r="AD125" t="str">
        <f t="shared" si="1"/>
        <v>OK</v>
      </c>
    </row>
    <row r="126" spans="1:30">
      <c r="A126" t="s">
        <v>462</v>
      </c>
      <c r="B126" s="15">
        <v>46219</v>
      </c>
      <c r="C126" t="s">
        <v>107</v>
      </c>
      <c r="D126">
        <v>29</v>
      </c>
      <c r="E126" t="s">
        <v>463</v>
      </c>
      <c r="F126" t="s">
        <v>464</v>
      </c>
      <c r="G126" t="s">
        <v>48</v>
      </c>
      <c r="H126" t="s">
        <v>61</v>
      </c>
      <c r="I126" t="s">
        <v>329</v>
      </c>
      <c r="J126" t="s">
        <v>63</v>
      </c>
      <c r="K126" t="s">
        <v>141</v>
      </c>
      <c r="L126" t="s">
        <v>64</v>
      </c>
      <c r="M126" t="s">
        <v>65</v>
      </c>
      <c r="N126" s="16">
        <v>46219.4</v>
      </c>
      <c r="O126" s="16">
        <v>46219.4166666667</v>
      </c>
      <c r="P126" s="16">
        <v>46219.6258333333</v>
      </c>
      <c r="Q126" s="16">
        <v>46219.6466666667</v>
      </c>
      <c r="R126" s="16">
        <v>46219.6570833333</v>
      </c>
      <c r="S126" s="16">
        <v>46219.67375</v>
      </c>
      <c r="T126" s="16">
        <v>46219.69875</v>
      </c>
      <c r="U126" s="11">
        <v>3.3</v>
      </c>
      <c r="V126" s="11">
        <v>4.02</v>
      </c>
      <c r="W126" s="11">
        <v>4.02</v>
      </c>
      <c r="X126" s="11">
        <v>0</v>
      </c>
      <c r="Y126" s="11">
        <v>8</v>
      </c>
      <c r="Z126" s="12">
        <v>0.5025</v>
      </c>
      <c r="AA126" t="s">
        <v>66</v>
      </c>
      <c r="AB126" t="s">
        <v>56</v>
      </c>
      <c r="AC126" t="s">
        <v>57</v>
      </c>
      <c r="AD126" t="str">
        <f t="shared" si="1"/>
        <v>CONFLICTO</v>
      </c>
    </row>
    <row r="127" spans="1:30">
      <c r="A127" t="s">
        <v>465</v>
      </c>
      <c r="B127" s="15">
        <v>46220</v>
      </c>
      <c r="C127" t="s">
        <v>93</v>
      </c>
      <c r="D127">
        <v>29</v>
      </c>
      <c r="E127" t="s">
        <v>466</v>
      </c>
      <c r="F127" t="s">
        <v>467</v>
      </c>
      <c r="G127" t="s">
        <v>48</v>
      </c>
      <c r="H127" t="s">
        <v>173</v>
      </c>
      <c r="I127" t="s">
        <v>122</v>
      </c>
      <c r="J127" t="s">
        <v>63</v>
      </c>
      <c r="K127" t="s">
        <v>169</v>
      </c>
      <c r="L127" t="s">
        <v>53</v>
      </c>
      <c r="M127" t="s">
        <v>73</v>
      </c>
      <c r="N127" s="16">
        <v>46220.5666666667</v>
      </c>
      <c r="O127" s="16">
        <v>46220.5833333333</v>
      </c>
      <c r="P127" s="16">
        <v>46220.7816666667</v>
      </c>
      <c r="Q127" s="16">
        <v>46220.8025</v>
      </c>
      <c r="R127" s="16">
        <v>46220.8129166667</v>
      </c>
      <c r="S127" s="16">
        <v>46220.8295833333</v>
      </c>
      <c r="T127" s="16">
        <v>46220.8545833333</v>
      </c>
      <c r="U127" s="11">
        <v>3.9</v>
      </c>
      <c r="V127" s="11">
        <v>4.76</v>
      </c>
      <c r="W127" s="11">
        <v>3.5</v>
      </c>
      <c r="X127" s="11">
        <v>1.26</v>
      </c>
      <c r="Y127" s="11">
        <v>8</v>
      </c>
      <c r="Z127" s="12">
        <v>0.595</v>
      </c>
      <c r="AA127" t="s">
        <v>66</v>
      </c>
      <c r="AB127" t="s">
        <v>56</v>
      </c>
      <c r="AC127" t="s">
        <v>57</v>
      </c>
      <c r="AD127" t="str">
        <f t="shared" si="1"/>
        <v>CONFLICTO</v>
      </c>
    </row>
    <row r="128" spans="1:30">
      <c r="A128" t="s">
        <v>468</v>
      </c>
      <c r="B128" s="15">
        <v>46219</v>
      </c>
      <c r="C128" t="s">
        <v>107</v>
      </c>
      <c r="D128">
        <v>29</v>
      </c>
      <c r="E128" t="s">
        <v>469</v>
      </c>
      <c r="F128" t="s">
        <v>470</v>
      </c>
      <c r="G128" t="s">
        <v>48</v>
      </c>
      <c r="H128" t="s">
        <v>216</v>
      </c>
      <c r="I128" t="s">
        <v>77</v>
      </c>
      <c r="J128" t="s">
        <v>85</v>
      </c>
      <c r="K128" t="s">
        <v>78</v>
      </c>
      <c r="L128" t="s">
        <v>64</v>
      </c>
      <c r="M128" t="s">
        <v>79</v>
      </c>
      <c r="N128" s="16">
        <v>46219.6291666667</v>
      </c>
      <c r="O128" s="16">
        <v>46219.6458333333</v>
      </c>
      <c r="P128" s="16">
        <v>46219.6891666667</v>
      </c>
      <c r="Q128" s="16">
        <v>46219.71</v>
      </c>
      <c r="R128" s="16">
        <v>46219.7204166667</v>
      </c>
      <c r="S128" s="16">
        <v>46219.7370833333</v>
      </c>
      <c r="T128" s="16">
        <v>46219.7620833333</v>
      </c>
      <c r="U128" s="11">
        <v>0.85</v>
      </c>
      <c r="V128" s="11">
        <v>1.04</v>
      </c>
      <c r="W128" s="11">
        <v>1.04</v>
      </c>
      <c r="X128" s="11">
        <v>0</v>
      </c>
      <c r="Y128" s="11">
        <v>8</v>
      </c>
      <c r="Z128" s="12">
        <v>0.13</v>
      </c>
      <c r="AA128" t="s">
        <v>66</v>
      </c>
      <c r="AB128" t="s">
        <v>56</v>
      </c>
      <c r="AC128" t="s">
        <v>57</v>
      </c>
      <c r="AD128" t="str">
        <f t="shared" si="1"/>
        <v>CONFLICTO</v>
      </c>
    </row>
    <row r="129" spans="1:30">
      <c r="A129" t="s">
        <v>471</v>
      </c>
      <c r="B129" s="15">
        <v>46227</v>
      </c>
      <c r="C129" t="s">
        <v>93</v>
      </c>
      <c r="D129">
        <v>30</v>
      </c>
      <c r="E129" t="s">
        <v>472</v>
      </c>
      <c r="F129" t="s">
        <v>473</v>
      </c>
      <c r="G129" t="s">
        <v>48</v>
      </c>
      <c r="H129" t="s">
        <v>173</v>
      </c>
      <c r="I129" t="s">
        <v>184</v>
      </c>
      <c r="J129" t="s">
        <v>85</v>
      </c>
      <c r="K129" t="s">
        <v>141</v>
      </c>
      <c r="L129" t="s">
        <v>53</v>
      </c>
      <c r="M129" t="s">
        <v>86</v>
      </c>
      <c r="N129" s="16">
        <v>46227.3166666667</v>
      </c>
      <c r="O129" s="16">
        <v>46227.3333333333</v>
      </c>
      <c r="P129" s="16">
        <v>46227.5416666667</v>
      </c>
      <c r="Q129" s="16">
        <v>46227.5625</v>
      </c>
      <c r="R129" s="16">
        <v>46227.5729166667</v>
      </c>
      <c r="S129" s="16">
        <v>46227.5895833333</v>
      </c>
      <c r="T129" s="16">
        <v>46227.6145833333</v>
      </c>
      <c r="U129" s="11">
        <v>4.1</v>
      </c>
      <c r="V129" s="11">
        <v>5</v>
      </c>
      <c r="W129" s="11">
        <v>5</v>
      </c>
      <c r="X129" s="11">
        <v>0</v>
      </c>
      <c r="Y129" s="11">
        <v>8</v>
      </c>
      <c r="Z129" s="12">
        <v>0.625</v>
      </c>
      <c r="AA129" t="s">
        <v>55</v>
      </c>
      <c r="AB129" t="s">
        <v>56</v>
      </c>
      <c r="AC129" t="s">
        <v>57</v>
      </c>
      <c r="AD129" t="str">
        <f t="shared" si="1"/>
        <v>CONFLICTO</v>
      </c>
    </row>
    <row r="130" spans="1:30">
      <c r="A130" t="s">
        <v>474</v>
      </c>
      <c r="B130" s="15">
        <v>46230</v>
      </c>
      <c r="C130" t="s">
        <v>45</v>
      </c>
      <c r="D130">
        <v>31</v>
      </c>
      <c r="E130" t="s">
        <v>475</v>
      </c>
      <c r="F130" t="s">
        <v>476</v>
      </c>
      <c r="G130" t="s">
        <v>48</v>
      </c>
      <c r="H130" t="s">
        <v>61</v>
      </c>
      <c r="I130" t="s">
        <v>62</v>
      </c>
      <c r="J130" t="s">
        <v>85</v>
      </c>
      <c r="K130" t="s">
        <v>78</v>
      </c>
      <c r="L130" t="s">
        <v>64</v>
      </c>
      <c r="M130" t="s">
        <v>91</v>
      </c>
      <c r="N130" s="16">
        <v>46230.4</v>
      </c>
      <c r="O130" s="16">
        <v>46230.4166666667</v>
      </c>
      <c r="P130" s="16">
        <v>46230.4495833333</v>
      </c>
      <c r="Q130" s="16">
        <v>46230.4704166667</v>
      </c>
      <c r="R130" s="16">
        <v>46230.4808333333</v>
      </c>
      <c r="S130" s="16">
        <v>46230.4975</v>
      </c>
      <c r="T130" s="16">
        <v>46230.5225</v>
      </c>
      <c r="U130" s="11">
        <v>0.65</v>
      </c>
      <c r="V130" s="11">
        <v>0.79</v>
      </c>
      <c r="W130" s="11">
        <v>0.79</v>
      </c>
      <c r="X130" s="11">
        <v>0</v>
      </c>
      <c r="Y130" s="11">
        <v>8</v>
      </c>
      <c r="Z130" s="12">
        <v>0.0988</v>
      </c>
      <c r="AA130" t="s">
        <v>66</v>
      </c>
      <c r="AB130" t="s">
        <v>56</v>
      </c>
      <c r="AC130" t="s">
        <v>57</v>
      </c>
      <c r="AD130" t="str">
        <f t="shared" si="1"/>
        <v>CONFLICTO</v>
      </c>
    </row>
    <row r="131" spans="1:30">
      <c r="A131" t="s">
        <v>477</v>
      </c>
      <c r="B131" s="15">
        <v>46223</v>
      </c>
      <c r="C131" t="s">
        <v>45</v>
      </c>
      <c r="D131">
        <v>30</v>
      </c>
      <c r="E131" t="s">
        <v>478</v>
      </c>
      <c r="F131" t="s">
        <v>479</v>
      </c>
      <c r="G131" t="s">
        <v>48</v>
      </c>
      <c r="H131" t="s">
        <v>116</v>
      </c>
      <c r="I131" t="s">
        <v>50</v>
      </c>
      <c r="J131" t="s">
        <v>63</v>
      </c>
      <c r="K131" t="s">
        <v>141</v>
      </c>
      <c r="L131" t="s">
        <v>53</v>
      </c>
      <c r="M131" t="s">
        <v>54</v>
      </c>
      <c r="N131" s="16">
        <v>46223.5666666667</v>
      </c>
      <c r="O131" s="16">
        <v>46223.5833333333</v>
      </c>
      <c r="P131" s="16">
        <v>46223.7966666667</v>
      </c>
      <c r="Q131" s="16">
        <v>46223.8175</v>
      </c>
      <c r="R131" s="16">
        <v>46223.8279166667</v>
      </c>
      <c r="S131" s="16">
        <v>46223.8445833333</v>
      </c>
      <c r="T131" s="16">
        <v>46223.8695833333</v>
      </c>
      <c r="U131" s="11">
        <v>4.2</v>
      </c>
      <c r="V131" s="11">
        <v>5.12</v>
      </c>
      <c r="W131" s="11">
        <v>3.5</v>
      </c>
      <c r="X131" s="11">
        <v>1.62</v>
      </c>
      <c r="Y131" s="11">
        <v>8</v>
      </c>
      <c r="Z131" s="12">
        <v>0.64</v>
      </c>
      <c r="AA131" t="s">
        <v>55</v>
      </c>
      <c r="AB131" t="s">
        <v>56</v>
      </c>
      <c r="AC131" t="s">
        <v>57</v>
      </c>
      <c r="AD131" t="str">
        <f t="shared" si="1"/>
        <v>OK</v>
      </c>
    </row>
    <row r="132" spans="1:30">
      <c r="A132" t="s">
        <v>480</v>
      </c>
      <c r="B132" s="15">
        <v>46230</v>
      </c>
      <c r="C132" t="s">
        <v>45</v>
      </c>
      <c r="D132">
        <v>31</v>
      </c>
      <c r="E132" t="s">
        <v>481</v>
      </c>
      <c r="F132" t="s">
        <v>482</v>
      </c>
      <c r="G132" t="s">
        <v>48</v>
      </c>
      <c r="H132" t="s">
        <v>154</v>
      </c>
      <c r="I132" t="s">
        <v>50</v>
      </c>
      <c r="J132" t="s">
        <v>63</v>
      </c>
      <c r="K132" t="s">
        <v>141</v>
      </c>
      <c r="L132" t="s">
        <v>64</v>
      </c>
      <c r="M132" t="s">
        <v>65</v>
      </c>
      <c r="N132" s="16">
        <v>46230.6291666667</v>
      </c>
      <c r="O132" s="16">
        <v>46230.6458333333</v>
      </c>
      <c r="P132" s="16">
        <v>46230.8591666667</v>
      </c>
      <c r="Q132" s="16">
        <v>46230.88</v>
      </c>
      <c r="R132" s="16">
        <v>46230.8904166667</v>
      </c>
      <c r="S132" s="16">
        <v>46230.9070833333</v>
      </c>
      <c r="T132" s="16">
        <v>46230.9320833333</v>
      </c>
      <c r="U132" s="11">
        <v>4.2</v>
      </c>
      <c r="V132" s="11">
        <v>5.12</v>
      </c>
      <c r="W132" s="11">
        <v>2.12</v>
      </c>
      <c r="X132" s="11">
        <v>3</v>
      </c>
      <c r="Y132" s="11">
        <v>8</v>
      </c>
      <c r="Z132" s="12">
        <v>0.64</v>
      </c>
      <c r="AA132" t="s">
        <v>55</v>
      </c>
      <c r="AB132" t="s">
        <v>56</v>
      </c>
      <c r="AC132" t="s">
        <v>57</v>
      </c>
      <c r="AD132" t="str">
        <f t="shared" si="1"/>
        <v>CONFLICTO</v>
      </c>
    </row>
    <row r="133" spans="1:30">
      <c r="A133" t="s">
        <v>483</v>
      </c>
      <c r="B133" s="15">
        <v>46217</v>
      </c>
      <c r="C133" t="s">
        <v>88</v>
      </c>
      <c r="D133">
        <v>29</v>
      </c>
      <c r="E133" t="s">
        <v>484</v>
      </c>
      <c r="F133" t="s">
        <v>485</v>
      </c>
      <c r="G133" t="s">
        <v>48</v>
      </c>
      <c r="H133" t="s">
        <v>83</v>
      </c>
      <c r="I133" t="s">
        <v>62</v>
      </c>
      <c r="J133" t="s">
        <v>51</v>
      </c>
      <c r="K133" t="s">
        <v>141</v>
      </c>
      <c r="L133" t="s">
        <v>53</v>
      </c>
      <c r="M133" t="s">
        <v>73</v>
      </c>
      <c r="N133" s="16">
        <v>46217.3166666667</v>
      </c>
      <c r="O133" s="16">
        <v>46217.3333333333</v>
      </c>
      <c r="P133" s="16">
        <v>46217.36625</v>
      </c>
      <c r="Q133" s="16">
        <v>46217.3870833333</v>
      </c>
      <c r="R133" s="16">
        <v>46217.3975</v>
      </c>
      <c r="S133" s="16">
        <v>46217.4141666667</v>
      </c>
      <c r="T133" s="16">
        <v>46217.4391666667</v>
      </c>
      <c r="U133" s="11">
        <v>0.65</v>
      </c>
      <c r="V133" s="11">
        <v>0.79</v>
      </c>
      <c r="W133" s="11">
        <v>0.79</v>
      </c>
      <c r="X133" s="11">
        <v>0</v>
      </c>
      <c r="Y133" s="11">
        <v>8</v>
      </c>
      <c r="Z133" s="12">
        <v>0.0988</v>
      </c>
      <c r="AA133" t="s">
        <v>66</v>
      </c>
      <c r="AB133" t="s">
        <v>56</v>
      </c>
      <c r="AC133" t="s">
        <v>57</v>
      </c>
      <c r="AD133" t="str">
        <f t="shared" ref="AD133:AD196" si="2">IF(COUNTIFS($B$5:$B$234,B133,$K$5:$K$234,K133,$O$5:$O$234,"&lt;"&amp;P133,$P$5:$P$234,"&gt;"&amp;O133)&gt;1,"CONFLICTO","OK")</f>
        <v>CONFLICTO</v>
      </c>
    </row>
    <row r="134" spans="1:30">
      <c r="A134" t="s">
        <v>486</v>
      </c>
      <c r="B134" s="15">
        <v>46225</v>
      </c>
      <c r="C134" t="s">
        <v>68</v>
      </c>
      <c r="D134">
        <v>30</v>
      </c>
      <c r="E134" t="s">
        <v>487</v>
      </c>
      <c r="F134" t="s">
        <v>488</v>
      </c>
      <c r="G134" t="s">
        <v>48</v>
      </c>
      <c r="H134" t="s">
        <v>71</v>
      </c>
      <c r="I134" t="s">
        <v>62</v>
      </c>
      <c r="J134" t="s">
        <v>63</v>
      </c>
      <c r="K134" t="s">
        <v>165</v>
      </c>
      <c r="L134" t="s">
        <v>64</v>
      </c>
      <c r="M134" t="s">
        <v>79</v>
      </c>
      <c r="N134" s="16">
        <v>46225.4</v>
      </c>
      <c r="O134" s="16">
        <v>46225.4166666667</v>
      </c>
      <c r="P134" s="16">
        <v>46225.4495833333</v>
      </c>
      <c r="Q134" s="16">
        <v>46225.4704166667</v>
      </c>
      <c r="R134" s="16">
        <v>46225.4808333333</v>
      </c>
      <c r="S134" s="16">
        <v>46225.4975</v>
      </c>
      <c r="T134" s="16">
        <v>46225.5225</v>
      </c>
      <c r="U134" s="11">
        <v>0.65</v>
      </c>
      <c r="V134" s="11">
        <v>0.79</v>
      </c>
      <c r="W134" s="11">
        <v>0.79</v>
      </c>
      <c r="X134" s="11">
        <v>0</v>
      </c>
      <c r="Y134" s="11">
        <v>8</v>
      </c>
      <c r="Z134" s="12">
        <v>0.0988</v>
      </c>
      <c r="AA134" t="s">
        <v>66</v>
      </c>
      <c r="AB134" t="s">
        <v>56</v>
      </c>
      <c r="AC134" t="s">
        <v>57</v>
      </c>
      <c r="AD134" t="str">
        <f t="shared" si="2"/>
        <v>CONFLICTO</v>
      </c>
    </row>
    <row r="135" spans="1:30">
      <c r="A135" t="s">
        <v>489</v>
      </c>
      <c r="B135" s="15">
        <v>46226</v>
      </c>
      <c r="C135" t="s">
        <v>107</v>
      </c>
      <c r="D135">
        <v>30</v>
      </c>
      <c r="E135" t="s">
        <v>490</v>
      </c>
      <c r="F135" t="s">
        <v>491</v>
      </c>
      <c r="G135" t="s">
        <v>48</v>
      </c>
      <c r="H135" t="s">
        <v>121</v>
      </c>
      <c r="I135" t="s">
        <v>329</v>
      </c>
      <c r="J135" t="s">
        <v>63</v>
      </c>
      <c r="K135" t="s">
        <v>105</v>
      </c>
      <c r="L135" t="s">
        <v>53</v>
      </c>
      <c r="M135" t="s">
        <v>86</v>
      </c>
      <c r="N135" s="16">
        <v>46226.5666666667</v>
      </c>
      <c r="O135" s="16">
        <v>46226.5833333333</v>
      </c>
      <c r="P135" s="16">
        <v>46226.7508333333</v>
      </c>
      <c r="Q135" s="16">
        <v>46226.7716666667</v>
      </c>
      <c r="R135" s="16">
        <v>46226.7820833333</v>
      </c>
      <c r="S135" s="16">
        <v>46226.79875</v>
      </c>
      <c r="T135" s="16">
        <v>46226.82375</v>
      </c>
      <c r="U135" s="11">
        <v>3.3</v>
      </c>
      <c r="V135" s="11">
        <v>4.02</v>
      </c>
      <c r="W135" s="11">
        <v>3.5</v>
      </c>
      <c r="X135" s="11">
        <v>0.52</v>
      </c>
      <c r="Y135" s="11">
        <v>8</v>
      </c>
      <c r="Z135" s="12">
        <v>0.5025</v>
      </c>
      <c r="AA135" t="s">
        <v>66</v>
      </c>
      <c r="AB135" t="s">
        <v>56</v>
      </c>
      <c r="AC135" t="s">
        <v>57</v>
      </c>
      <c r="AD135" t="str">
        <f t="shared" si="2"/>
        <v>CONFLICTO</v>
      </c>
    </row>
    <row r="136" spans="1:30">
      <c r="A136" t="s">
        <v>492</v>
      </c>
      <c r="B136" s="15">
        <v>46217</v>
      </c>
      <c r="C136" t="s">
        <v>88</v>
      </c>
      <c r="D136">
        <v>29</v>
      </c>
      <c r="E136" t="s">
        <v>493</v>
      </c>
      <c r="F136" t="s">
        <v>494</v>
      </c>
      <c r="G136" t="s">
        <v>48</v>
      </c>
      <c r="H136" t="s">
        <v>173</v>
      </c>
      <c r="I136" t="s">
        <v>184</v>
      </c>
      <c r="J136" t="s">
        <v>63</v>
      </c>
      <c r="K136" t="s">
        <v>141</v>
      </c>
      <c r="L136" t="s">
        <v>64</v>
      </c>
      <c r="M136" t="s">
        <v>91</v>
      </c>
      <c r="N136" s="16">
        <v>46217.6291666667</v>
      </c>
      <c r="O136" s="16">
        <v>46217.6458333333</v>
      </c>
      <c r="P136" s="16">
        <v>46217.8541666667</v>
      </c>
      <c r="Q136" s="16">
        <v>46217.875</v>
      </c>
      <c r="R136" s="16">
        <v>46217.8854166667</v>
      </c>
      <c r="S136" s="16">
        <v>46217.9020833333</v>
      </c>
      <c r="T136" s="16">
        <v>46217.9270833333</v>
      </c>
      <c r="U136" s="11">
        <v>4.1</v>
      </c>
      <c r="V136" s="11">
        <v>5</v>
      </c>
      <c r="W136" s="11">
        <v>2</v>
      </c>
      <c r="X136" s="11">
        <v>3</v>
      </c>
      <c r="Y136" s="11">
        <v>8</v>
      </c>
      <c r="Z136" s="12">
        <v>0.625</v>
      </c>
      <c r="AA136" t="s">
        <v>55</v>
      </c>
      <c r="AB136" t="s">
        <v>56</v>
      </c>
      <c r="AC136" t="s">
        <v>57</v>
      </c>
      <c r="AD136" t="str">
        <f t="shared" si="2"/>
        <v>OK</v>
      </c>
    </row>
    <row r="137" spans="1:30">
      <c r="A137" t="s">
        <v>495</v>
      </c>
      <c r="B137" s="15">
        <v>46226</v>
      </c>
      <c r="C137" t="s">
        <v>107</v>
      </c>
      <c r="D137">
        <v>30</v>
      </c>
      <c r="E137" t="s">
        <v>496</v>
      </c>
      <c r="F137" t="s">
        <v>497</v>
      </c>
      <c r="G137" t="s">
        <v>48</v>
      </c>
      <c r="H137" t="s">
        <v>281</v>
      </c>
      <c r="I137" t="s">
        <v>101</v>
      </c>
      <c r="J137" t="s">
        <v>51</v>
      </c>
      <c r="K137" t="s">
        <v>141</v>
      </c>
      <c r="L137" t="s">
        <v>53</v>
      </c>
      <c r="M137" t="s">
        <v>54</v>
      </c>
      <c r="N137" s="16">
        <v>46226.3166666667</v>
      </c>
      <c r="O137" s="16">
        <v>46226.3333333333</v>
      </c>
      <c r="P137" s="16">
        <v>46226.36875</v>
      </c>
      <c r="Q137" s="16">
        <v>46226.3895833333</v>
      </c>
      <c r="R137" s="16">
        <v>46226.4</v>
      </c>
      <c r="S137" s="16">
        <v>46226.4166666667</v>
      </c>
      <c r="T137" s="16">
        <v>46226.4416666667</v>
      </c>
      <c r="U137" s="11">
        <v>0.7</v>
      </c>
      <c r="V137" s="11">
        <v>0.85</v>
      </c>
      <c r="W137" s="11">
        <v>0.85</v>
      </c>
      <c r="X137" s="11">
        <v>0</v>
      </c>
      <c r="Y137" s="11">
        <v>8</v>
      </c>
      <c r="Z137" s="12">
        <v>0.1062</v>
      </c>
      <c r="AA137" t="s">
        <v>66</v>
      </c>
      <c r="AB137" t="s">
        <v>56</v>
      </c>
      <c r="AC137" t="s">
        <v>57</v>
      </c>
      <c r="AD137" t="str">
        <f t="shared" si="2"/>
        <v>OK</v>
      </c>
    </row>
    <row r="138" spans="1:30">
      <c r="A138" t="s">
        <v>498</v>
      </c>
      <c r="B138" s="15">
        <v>46230</v>
      </c>
      <c r="C138" t="s">
        <v>45</v>
      </c>
      <c r="D138">
        <v>31</v>
      </c>
      <c r="E138" t="s">
        <v>499</v>
      </c>
      <c r="F138" t="s">
        <v>500</v>
      </c>
      <c r="G138" t="s">
        <v>48</v>
      </c>
      <c r="H138" t="s">
        <v>83</v>
      </c>
      <c r="I138" t="s">
        <v>84</v>
      </c>
      <c r="J138" t="s">
        <v>51</v>
      </c>
      <c r="K138" t="s">
        <v>165</v>
      </c>
      <c r="L138" t="s">
        <v>64</v>
      </c>
      <c r="M138" t="s">
        <v>65</v>
      </c>
      <c r="N138" s="16">
        <v>46230.4</v>
      </c>
      <c r="O138" s="16">
        <v>46230.4166666667</v>
      </c>
      <c r="P138" s="16">
        <v>46230.6870833333</v>
      </c>
      <c r="Q138" s="16">
        <v>46230.7079166667</v>
      </c>
      <c r="R138" s="16">
        <v>46230.7183333333</v>
      </c>
      <c r="S138" s="16">
        <v>46230.735</v>
      </c>
      <c r="T138" s="16">
        <v>46230.76</v>
      </c>
      <c r="U138" s="11">
        <v>4.5</v>
      </c>
      <c r="V138" s="11">
        <v>5.49</v>
      </c>
      <c r="W138" s="11">
        <v>5.49</v>
      </c>
      <c r="X138" s="11">
        <v>0</v>
      </c>
      <c r="Y138" s="11">
        <v>8</v>
      </c>
      <c r="Z138" s="12">
        <v>0.6863</v>
      </c>
      <c r="AA138" t="s">
        <v>55</v>
      </c>
      <c r="AB138" t="s">
        <v>56</v>
      </c>
      <c r="AC138" t="s">
        <v>57</v>
      </c>
      <c r="AD138" t="str">
        <f t="shared" si="2"/>
        <v>CONFLICTO</v>
      </c>
    </row>
    <row r="139" spans="1:30">
      <c r="A139" t="s">
        <v>501</v>
      </c>
      <c r="B139" s="15">
        <v>46218</v>
      </c>
      <c r="C139" t="s">
        <v>68</v>
      </c>
      <c r="D139">
        <v>29</v>
      </c>
      <c r="E139" t="s">
        <v>502</v>
      </c>
      <c r="F139" t="s">
        <v>503</v>
      </c>
      <c r="G139" t="s">
        <v>48</v>
      </c>
      <c r="H139" t="s">
        <v>216</v>
      </c>
      <c r="I139" t="s">
        <v>72</v>
      </c>
      <c r="J139" t="s">
        <v>63</v>
      </c>
      <c r="K139" t="s">
        <v>165</v>
      </c>
      <c r="L139" t="s">
        <v>53</v>
      </c>
      <c r="M139" t="s">
        <v>73</v>
      </c>
      <c r="N139" s="16">
        <v>46218.5666666667</v>
      </c>
      <c r="O139" s="16">
        <v>46218.5833333333</v>
      </c>
      <c r="P139" s="16">
        <v>46218.61125</v>
      </c>
      <c r="Q139" s="16">
        <v>46218.6320833333</v>
      </c>
      <c r="R139" s="16">
        <v>46218.6425</v>
      </c>
      <c r="S139" s="16">
        <v>46218.6591666667</v>
      </c>
      <c r="T139" s="16">
        <v>46218.6841666667</v>
      </c>
      <c r="U139" s="11">
        <v>0.55</v>
      </c>
      <c r="V139" s="11">
        <v>0.67</v>
      </c>
      <c r="W139" s="11">
        <v>0.67</v>
      </c>
      <c r="X139" s="11">
        <v>0</v>
      </c>
      <c r="Y139" s="11">
        <v>8</v>
      </c>
      <c r="Z139" s="12">
        <v>0.0838</v>
      </c>
      <c r="AA139" t="s">
        <v>66</v>
      </c>
      <c r="AB139" t="s">
        <v>56</v>
      </c>
      <c r="AC139" t="s">
        <v>57</v>
      </c>
      <c r="AD139" t="str">
        <f t="shared" si="2"/>
        <v>CONFLICTO</v>
      </c>
    </row>
    <row r="140" spans="1:30">
      <c r="A140" t="s">
        <v>504</v>
      </c>
      <c r="B140" s="15">
        <v>46216</v>
      </c>
      <c r="C140" t="s">
        <v>45</v>
      </c>
      <c r="D140">
        <v>29</v>
      </c>
      <c r="E140" t="s">
        <v>505</v>
      </c>
      <c r="F140" t="s">
        <v>506</v>
      </c>
      <c r="G140" t="s">
        <v>48</v>
      </c>
      <c r="H140" t="s">
        <v>216</v>
      </c>
      <c r="I140" t="s">
        <v>177</v>
      </c>
      <c r="J140" t="s">
        <v>51</v>
      </c>
      <c r="K140" t="s">
        <v>105</v>
      </c>
      <c r="L140" t="s">
        <v>64</v>
      </c>
      <c r="M140" t="s">
        <v>79</v>
      </c>
      <c r="N140" s="16">
        <v>46216.6291666667</v>
      </c>
      <c r="O140" s="16">
        <v>46216.6458333333</v>
      </c>
      <c r="P140" s="16">
        <v>46216.68125</v>
      </c>
      <c r="Q140" s="16">
        <v>46216.7020833333</v>
      </c>
      <c r="R140" s="16">
        <v>46216.7125</v>
      </c>
      <c r="S140" s="16">
        <v>46216.7291666667</v>
      </c>
      <c r="T140" s="16">
        <v>46216.7541666667</v>
      </c>
      <c r="U140" s="11">
        <v>0.7</v>
      </c>
      <c r="V140" s="11">
        <v>0.85</v>
      </c>
      <c r="W140" s="11">
        <v>0.85</v>
      </c>
      <c r="X140" s="11">
        <v>0</v>
      </c>
      <c r="Y140" s="11">
        <v>8</v>
      </c>
      <c r="Z140" s="12">
        <v>0.1062</v>
      </c>
      <c r="AA140" t="s">
        <v>66</v>
      </c>
      <c r="AB140" t="s">
        <v>56</v>
      </c>
      <c r="AC140" t="s">
        <v>57</v>
      </c>
      <c r="AD140" t="str">
        <f t="shared" si="2"/>
        <v>CONFLICTO</v>
      </c>
    </row>
    <row r="141" spans="1:30">
      <c r="A141" t="s">
        <v>507</v>
      </c>
      <c r="B141" s="15">
        <v>46230</v>
      </c>
      <c r="C141" t="s">
        <v>45</v>
      </c>
      <c r="D141">
        <v>31</v>
      </c>
      <c r="E141" t="s">
        <v>508</v>
      </c>
      <c r="F141" t="s">
        <v>509</v>
      </c>
      <c r="G141" t="s">
        <v>48</v>
      </c>
      <c r="H141" t="s">
        <v>116</v>
      </c>
      <c r="I141" t="s">
        <v>122</v>
      </c>
      <c r="J141" t="s">
        <v>117</v>
      </c>
      <c r="K141" t="s">
        <v>52</v>
      </c>
      <c r="L141" t="s">
        <v>53</v>
      </c>
      <c r="M141" t="s">
        <v>86</v>
      </c>
      <c r="N141" s="16">
        <v>46230.3166666667</v>
      </c>
      <c r="O141" s="16">
        <v>46230.3333333333</v>
      </c>
      <c r="P141" s="16">
        <v>46230.5316666667</v>
      </c>
      <c r="Q141" s="16">
        <v>46230.5525</v>
      </c>
      <c r="R141" s="16">
        <v>46230.5629166667</v>
      </c>
      <c r="S141" s="16">
        <v>46230.5795833333</v>
      </c>
      <c r="T141" s="16">
        <v>46230.6045833333</v>
      </c>
      <c r="U141" s="11">
        <v>3.9</v>
      </c>
      <c r="V141" s="11">
        <v>4.76</v>
      </c>
      <c r="W141" s="11">
        <v>4.76</v>
      </c>
      <c r="X141" s="11">
        <v>0</v>
      </c>
      <c r="Y141" s="11">
        <v>8</v>
      </c>
      <c r="Z141" s="12">
        <v>0.595</v>
      </c>
      <c r="AA141" t="s">
        <v>66</v>
      </c>
      <c r="AB141" t="s">
        <v>56</v>
      </c>
      <c r="AC141" t="s">
        <v>57</v>
      </c>
      <c r="AD141" t="str">
        <f t="shared" si="2"/>
        <v>CONFLICTO</v>
      </c>
    </row>
    <row r="142" spans="1:30">
      <c r="A142" t="s">
        <v>510</v>
      </c>
      <c r="B142" s="15">
        <v>46224</v>
      </c>
      <c r="C142" t="s">
        <v>88</v>
      </c>
      <c r="D142">
        <v>30</v>
      </c>
      <c r="E142" t="s">
        <v>511</v>
      </c>
      <c r="F142" t="s">
        <v>512</v>
      </c>
      <c r="G142" t="s">
        <v>48</v>
      </c>
      <c r="H142" t="s">
        <v>61</v>
      </c>
      <c r="I142" t="s">
        <v>84</v>
      </c>
      <c r="J142" t="s">
        <v>85</v>
      </c>
      <c r="K142" t="s">
        <v>105</v>
      </c>
      <c r="L142" t="s">
        <v>64</v>
      </c>
      <c r="M142" t="s">
        <v>91</v>
      </c>
      <c r="N142" s="16">
        <v>46224.4</v>
      </c>
      <c r="O142" s="16">
        <v>46224.4166666667</v>
      </c>
      <c r="P142" s="16">
        <v>46224.6870833333</v>
      </c>
      <c r="Q142" s="16">
        <v>46224.7079166667</v>
      </c>
      <c r="R142" s="16">
        <v>46224.7183333333</v>
      </c>
      <c r="S142" s="16">
        <v>46224.735</v>
      </c>
      <c r="T142" s="16">
        <v>46224.76</v>
      </c>
      <c r="U142" s="11">
        <v>4.5</v>
      </c>
      <c r="V142" s="11">
        <v>5.49</v>
      </c>
      <c r="W142" s="11">
        <v>5.49</v>
      </c>
      <c r="X142" s="11">
        <v>0</v>
      </c>
      <c r="Y142" s="11">
        <v>8</v>
      </c>
      <c r="Z142" s="12">
        <v>0.6863</v>
      </c>
      <c r="AA142" t="s">
        <v>55</v>
      </c>
      <c r="AB142" t="s">
        <v>56</v>
      </c>
      <c r="AC142" t="s">
        <v>57</v>
      </c>
      <c r="AD142" t="str">
        <f t="shared" si="2"/>
        <v>CONFLICTO</v>
      </c>
    </row>
    <row r="143" spans="1:30">
      <c r="A143" t="s">
        <v>513</v>
      </c>
      <c r="B143" s="15">
        <v>46223</v>
      </c>
      <c r="C143" t="s">
        <v>45</v>
      </c>
      <c r="D143">
        <v>30</v>
      </c>
      <c r="E143" t="s">
        <v>514</v>
      </c>
      <c r="F143" t="s">
        <v>515</v>
      </c>
      <c r="G143" t="s">
        <v>48</v>
      </c>
      <c r="H143" t="s">
        <v>154</v>
      </c>
      <c r="I143" t="s">
        <v>122</v>
      </c>
      <c r="J143" t="s">
        <v>63</v>
      </c>
      <c r="K143" t="s">
        <v>165</v>
      </c>
      <c r="L143" t="s">
        <v>53</v>
      </c>
      <c r="M143" t="s">
        <v>54</v>
      </c>
      <c r="N143" s="16">
        <v>46223.5666666667</v>
      </c>
      <c r="O143" s="16">
        <v>46223.5833333333</v>
      </c>
      <c r="P143" s="16">
        <v>46223.7816666667</v>
      </c>
      <c r="Q143" s="16">
        <v>46223.8025</v>
      </c>
      <c r="R143" s="16">
        <v>46223.8129166667</v>
      </c>
      <c r="S143" s="16">
        <v>46223.8295833333</v>
      </c>
      <c r="T143" s="16">
        <v>46223.8545833333</v>
      </c>
      <c r="U143" s="11">
        <v>3.9</v>
      </c>
      <c r="V143" s="11">
        <v>4.76</v>
      </c>
      <c r="W143" s="11">
        <v>3.5</v>
      </c>
      <c r="X143" s="11">
        <v>1.26</v>
      </c>
      <c r="Y143" s="11">
        <v>8</v>
      </c>
      <c r="Z143" s="12">
        <v>0.595</v>
      </c>
      <c r="AA143" t="s">
        <v>66</v>
      </c>
      <c r="AB143" t="s">
        <v>56</v>
      </c>
      <c r="AC143" t="s">
        <v>57</v>
      </c>
      <c r="AD143" t="str">
        <f t="shared" si="2"/>
        <v>CONFLICTO</v>
      </c>
    </row>
    <row r="144" spans="1:30">
      <c r="A144" t="s">
        <v>516</v>
      </c>
      <c r="B144" s="15">
        <v>46225</v>
      </c>
      <c r="C144" t="s">
        <v>68</v>
      </c>
      <c r="D144">
        <v>30</v>
      </c>
      <c r="E144" t="s">
        <v>517</v>
      </c>
      <c r="F144" t="s">
        <v>518</v>
      </c>
      <c r="G144" t="s">
        <v>48</v>
      </c>
      <c r="H144" t="s">
        <v>116</v>
      </c>
      <c r="I144" t="s">
        <v>158</v>
      </c>
      <c r="J144" t="s">
        <v>51</v>
      </c>
      <c r="K144" t="s">
        <v>141</v>
      </c>
      <c r="L144" t="s">
        <v>64</v>
      </c>
      <c r="M144" t="s">
        <v>65</v>
      </c>
      <c r="N144" s="16">
        <v>46225.6291666667</v>
      </c>
      <c r="O144" s="16">
        <v>46225.6458333333</v>
      </c>
      <c r="P144" s="16">
        <v>46225.6891666667</v>
      </c>
      <c r="Q144" s="16">
        <v>46225.71</v>
      </c>
      <c r="R144" s="16">
        <v>46225.7204166667</v>
      </c>
      <c r="S144" s="16">
        <v>46225.7370833333</v>
      </c>
      <c r="T144" s="16">
        <v>46225.7620833333</v>
      </c>
      <c r="U144" s="11">
        <v>0.85</v>
      </c>
      <c r="V144" s="11">
        <v>1.04</v>
      </c>
      <c r="W144" s="11">
        <v>1.04</v>
      </c>
      <c r="X144" s="11">
        <v>0</v>
      </c>
      <c r="Y144" s="11">
        <v>8</v>
      </c>
      <c r="Z144" s="12">
        <v>0.13</v>
      </c>
      <c r="AA144" t="s">
        <v>66</v>
      </c>
      <c r="AB144" t="s">
        <v>56</v>
      </c>
      <c r="AC144" t="s">
        <v>57</v>
      </c>
      <c r="AD144" t="str">
        <f t="shared" si="2"/>
        <v>OK</v>
      </c>
    </row>
    <row r="145" spans="1:30">
      <c r="A145" t="s">
        <v>519</v>
      </c>
      <c r="B145" s="15">
        <v>46230</v>
      </c>
      <c r="C145" t="s">
        <v>45</v>
      </c>
      <c r="D145">
        <v>31</v>
      </c>
      <c r="E145" t="s">
        <v>520</v>
      </c>
      <c r="F145" t="s">
        <v>521</v>
      </c>
      <c r="G145" t="s">
        <v>48</v>
      </c>
      <c r="H145" t="s">
        <v>216</v>
      </c>
      <c r="I145" t="s">
        <v>62</v>
      </c>
      <c r="J145" t="s">
        <v>51</v>
      </c>
      <c r="K145" t="s">
        <v>78</v>
      </c>
      <c r="L145" t="s">
        <v>53</v>
      </c>
      <c r="M145" t="s">
        <v>73</v>
      </c>
      <c r="N145" s="16">
        <v>46230.3166666667</v>
      </c>
      <c r="O145" s="16">
        <v>46230.3333333333</v>
      </c>
      <c r="P145" s="16">
        <v>46230.36625</v>
      </c>
      <c r="Q145" s="16">
        <v>46230.3870833333</v>
      </c>
      <c r="R145" s="16">
        <v>46230.3975</v>
      </c>
      <c r="S145" s="16">
        <v>46230.4141666667</v>
      </c>
      <c r="T145" s="16">
        <v>46230.4391666667</v>
      </c>
      <c r="U145" s="11">
        <v>0.65</v>
      </c>
      <c r="V145" s="11">
        <v>0.79</v>
      </c>
      <c r="W145" s="11">
        <v>0.79</v>
      </c>
      <c r="X145" s="11">
        <v>0</v>
      </c>
      <c r="Y145" s="11">
        <v>8</v>
      </c>
      <c r="Z145" s="12">
        <v>0.0988</v>
      </c>
      <c r="AA145" t="s">
        <v>66</v>
      </c>
      <c r="AB145" t="s">
        <v>56</v>
      </c>
      <c r="AC145" t="s">
        <v>57</v>
      </c>
      <c r="AD145" t="str">
        <f t="shared" si="2"/>
        <v>CONFLICTO</v>
      </c>
    </row>
    <row r="146" spans="1:30">
      <c r="A146" t="s">
        <v>522</v>
      </c>
      <c r="B146" s="15">
        <v>46223</v>
      </c>
      <c r="C146" t="s">
        <v>45</v>
      </c>
      <c r="D146">
        <v>30</v>
      </c>
      <c r="E146" t="s">
        <v>523</v>
      </c>
      <c r="F146" t="s">
        <v>524</v>
      </c>
      <c r="G146" t="s">
        <v>48</v>
      </c>
      <c r="H146" t="s">
        <v>83</v>
      </c>
      <c r="I146" t="s">
        <v>84</v>
      </c>
      <c r="J146" t="s">
        <v>51</v>
      </c>
      <c r="K146" t="s">
        <v>52</v>
      </c>
      <c r="L146" t="s">
        <v>64</v>
      </c>
      <c r="M146" t="s">
        <v>79</v>
      </c>
      <c r="N146" s="16">
        <v>46223.4</v>
      </c>
      <c r="O146" s="16">
        <v>46223.4166666667</v>
      </c>
      <c r="P146" s="16">
        <v>46223.6870833333</v>
      </c>
      <c r="Q146" s="16">
        <v>46223.7079166667</v>
      </c>
      <c r="R146" s="16">
        <v>46223.7183333333</v>
      </c>
      <c r="S146" s="16">
        <v>46223.735</v>
      </c>
      <c r="T146" s="16">
        <v>46223.76</v>
      </c>
      <c r="U146" s="11">
        <v>4.5</v>
      </c>
      <c r="V146" s="11">
        <v>5.49</v>
      </c>
      <c r="W146" s="11">
        <v>5.49</v>
      </c>
      <c r="X146" s="11">
        <v>0</v>
      </c>
      <c r="Y146" s="11">
        <v>8</v>
      </c>
      <c r="Z146" s="12">
        <v>0.6863</v>
      </c>
      <c r="AA146" t="s">
        <v>55</v>
      </c>
      <c r="AB146" t="s">
        <v>56</v>
      </c>
      <c r="AC146" t="s">
        <v>57</v>
      </c>
      <c r="AD146" t="str">
        <f t="shared" si="2"/>
        <v>CONFLICTO</v>
      </c>
    </row>
    <row r="147" spans="1:30">
      <c r="A147" t="s">
        <v>525</v>
      </c>
      <c r="B147" s="15">
        <v>46218</v>
      </c>
      <c r="C147" t="s">
        <v>68</v>
      </c>
      <c r="D147">
        <v>29</v>
      </c>
      <c r="E147" t="s">
        <v>526</v>
      </c>
      <c r="F147" t="s">
        <v>527</v>
      </c>
      <c r="G147" t="s">
        <v>48</v>
      </c>
      <c r="H147" t="s">
        <v>173</v>
      </c>
      <c r="I147" t="s">
        <v>72</v>
      </c>
      <c r="J147" t="s">
        <v>51</v>
      </c>
      <c r="K147" t="s">
        <v>78</v>
      </c>
      <c r="L147" t="s">
        <v>53</v>
      </c>
      <c r="M147" t="s">
        <v>86</v>
      </c>
      <c r="N147" s="16">
        <v>46218.5666666667</v>
      </c>
      <c r="O147" s="16">
        <v>46218.5833333333</v>
      </c>
      <c r="P147" s="16">
        <v>46218.61125</v>
      </c>
      <c r="Q147" s="16">
        <v>46218.6320833333</v>
      </c>
      <c r="R147" s="16">
        <v>46218.6425</v>
      </c>
      <c r="S147" s="16">
        <v>46218.6591666667</v>
      </c>
      <c r="T147" s="16">
        <v>46218.6841666667</v>
      </c>
      <c r="U147" s="11">
        <v>0.55</v>
      </c>
      <c r="V147" s="11">
        <v>0.67</v>
      </c>
      <c r="W147" s="11">
        <v>0.67</v>
      </c>
      <c r="X147" s="11">
        <v>0</v>
      </c>
      <c r="Y147" s="11">
        <v>8</v>
      </c>
      <c r="Z147" s="12">
        <v>0.0838</v>
      </c>
      <c r="AA147" t="s">
        <v>66</v>
      </c>
      <c r="AB147" t="s">
        <v>56</v>
      </c>
      <c r="AC147" t="s">
        <v>57</v>
      </c>
      <c r="AD147" t="str">
        <f t="shared" si="2"/>
        <v>CONFLICTO</v>
      </c>
    </row>
    <row r="148" spans="1:30">
      <c r="A148" t="s">
        <v>528</v>
      </c>
      <c r="B148" s="15">
        <v>46225</v>
      </c>
      <c r="C148" t="s">
        <v>68</v>
      </c>
      <c r="D148">
        <v>30</v>
      </c>
      <c r="E148" t="s">
        <v>529</v>
      </c>
      <c r="F148" t="s">
        <v>530</v>
      </c>
      <c r="G148" t="s">
        <v>48</v>
      </c>
      <c r="H148" t="s">
        <v>71</v>
      </c>
      <c r="I148" t="s">
        <v>177</v>
      </c>
      <c r="J148" t="s">
        <v>51</v>
      </c>
      <c r="K148" t="s">
        <v>165</v>
      </c>
      <c r="L148" t="s">
        <v>64</v>
      </c>
      <c r="M148" t="s">
        <v>91</v>
      </c>
      <c r="N148" s="16">
        <v>46225.6291666667</v>
      </c>
      <c r="O148" s="16">
        <v>46225.6458333333</v>
      </c>
      <c r="P148" s="16">
        <v>46225.68125</v>
      </c>
      <c r="Q148" s="16">
        <v>46225.7020833333</v>
      </c>
      <c r="R148" s="16">
        <v>46225.7125</v>
      </c>
      <c r="S148" s="16">
        <v>46225.7291666667</v>
      </c>
      <c r="T148" s="16">
        <v>46225.7541666667</v>
      </c>
      <c r="U148" s="11">
        <v>0.7</v>
      </c>
      <c r="V148" s="11">
        <v>0.85</v>
      </c>
      <c r="W148" s="11">
        <v>0.85</v>
      </c>
      <c r="X148" s="11">
        <v>0</v>
      </c>
      <c r="Y148" s="11">
        <v>8</v>
      </c>
      <c r="Z148" s="12">
        <v>0.1062</v>
      </c>
      <c r="AA148" t="s">
        <v>66</v>
      </c>
      <c r="AB148" t="s">
        <v>56</v>
      </c>
      <c r="AC148" t="s">
        <v>57</v>
      </c>
      <c r="AD148" t="str">
        <f t="shared" si="2"/>
        <v>CONFLICTO</v>
      </c>
    </row>
    <row r="149" spans="1:30">
      <c r="A149" t="s">
        <v>531</v>
      </c>
      <c r="B149" s="15">
        <v>46230</v>
      </c>
      <c r="C149" t="s">
        <v>45</v>
      </c>
      <c r="D149">
        <v>31</v>
      </c>
      <c r="E149" t="s">
        <v>532</v>
      </c>
      <c r="F149" t="s">
        <v>533</v>
      </c>
      <c r="G149" t="s">
        <v>48</v>
      </c>
      <c r="H149" t="s">
        <v>83</v>
      </c>
      <c r="I149" t="s">
        <v>122</v>
      </c>
      <c r="J149" t="s">
        <v>297</v>
      </c>
      <c r="K149" t="s">
        <v>78</v>
      </c>
      <c r="L149" t="s">
        <v>53</v>
      </c>
      <c r="M149" t="s">
        <v>54</v>
      </c>
      <c r="N149" s="16">
        <v>46230.3166666667</v>
      </c>
      <c r="O149" s="16">
        <v>46230.3333333333</v>
      </c>
      <c r="P149" s="16">
        <v>46230.5316666667</v>
      </c>
      <c r="Q149" s="16">
        <v>46230.5525</v>
      </c>
      <c r="R149" s="16">
        <v>46230.5629166667</v>
      </c>
      <c r="S149" s="16">
        <v>46230.5795833333</v>
      </c>
      <c r="T149" s="16">
        <v>46230.6045833333</v>
      </c>
      <c r="U149" s="11">
        <v>3.9</v>
      </c>
      <c r="V149" s="11">
        <v>4.76</v>
      </c>
      <c r="W149" s="11">
        <v>4.76</v>
      </c>
      <c r="X149" s="11">
        <v>0</v>
      </c>
      <c r="Y149" s="11">
        <v>8</v>
      </c>
      <c r="Z149" s="12">
        <v>0.595</v>
      </c>
      <c r="AA149" t="s">
        <v>66</v>
      </c>
      <c r="AB149" t="s">
        <v>56</v>
      </c>
      <c r="AC149" t="s">
        <v>298</v>
      </c>
      <c r="AD149" t="str">
        <f t="shared" si="2"/>
        <v>CONFLICTO</v>
      </c>
    </row>
    <row r="150" spans="1:30">
      <c r="A150" t="s">
        <v>534</v>
      </c>
      <c r="B150" s="15">
        <v>46226</v>
      </c>
      <c r="C150" t="s">
        <v>107</v>
      </c>
      <c r="D150">
        <v>30</v>
      </c>
      <c r="E150" t="s">
        <v>535</v>
      </c>
      <c r="F150" t="s">
        <v>536</v>
      </c>
      <c r="G150" t="s">
        <v>48</v>
      </c>
      <c r="H150" t="s">
        <v>154</v>
      </c>
      <c r="I150" t="s">
        <v>62</v>
      </c>
      <c r="J150" t="s">
        <v>51</v>
      </c>
      <c r="K150" t="s">
        <v>141</v>
      </c>
      <c r="L150" t="s">
        <v>64</v>
      </c>
      <c r="M150" t="s">
        <v>65</v>
      </c>
      <c r="N150" s="16">
        <v>46226.4</v>
      </c>
      <c r="O150" s="16">
        <v>46226.4166666667</v>
      </c>
      <c r="P150" s="16">
        <v>46226.4495833333</v>
      </c>
      <c r="Q150" s="16">
        <v>46226.4704166667</v>
      </c>
      <c r="R150" s="16">
        <v>46226.4808333333</v>
      </c>
      <c r="S150" s="16">
        <v>46226.4975</v>
      </c>
      <c r="T150" s="16">
        <v>46226.5225</v>
      </c>
      <c r="U150" s="11">
        <v>0.65</v>
      </c>
      <c r="V150" s="11">
        <v>0.79</v>
      </c>
      <c r="W150" s="11">
        <v>0.79</v>
      </c>
      <c r="X150" s="11">
        <v>0</v>
      </c>
      <c r="Y150" s="11">
        <v>8</v>
      </c>
      <c r="Z150" s="12">
        <v>0.0988</v>
      </c>
      <c r="AA150" t="s">
        <v>66</v>
      </c>
      <c r="AB150" t="s">
        <v>56</v>
      </c>
      <c r="AC150" t="s">
        <v>57</v>
      </c>
      <c r="AD150" t="str">
        <f t="shared" si="2"/>
        <v>OK</v>
      </c>
    </row>
    <row r="151" spans="1:30">
      <c r="A151" t="s">
        <v>537</v>
      </c>
      <c r="B151" s="15">
        <v>46226</v>
      </c>
      <c r="C151" t="s">
        <v>107</v>
      </c>
      <c r="D151">
        <v>30</v>
      </c>
      <c r="E151" t="s">
        <v>538</v>
      </c>
      <c r="F151" t="s">
        <v>539</v>
      </c>
      <c r="G151" t="s">
        <v>48</v>
      </c>
      <c r="H151" t="s">
        <v>61</v>
      </c>
      <c r="I151" t="s">
        <v>184</v>
      </c>
      <c r="J151" t="s">
        <v>63</v>
      </c>
      <c r="K151" t="s">
        <v>141</v>
      </c>
      <c r="L151" t="s">
        <v>53</v>
      </c>
      <c r="M151" t="s">
        <v>73</v>
      </c>
      <c r="N151" s="16">
        <v>46226.5666666667</v>
      </c>
      <c r="O151" s="16">
        <v>46226.5833333333</v>
      </c>
      <c r="P151" s="16">
        <v>46226.7916666667</v>
      </c>
      <c r="Q151" s="16">
        <v>46226.8125</v>
      </c>
      <c r="R151" s="16">
        <v>46226.8229166667</v>
      </c>
      <c r="S151" s="16">
        <v>46226.8395833333</v>
      </c>
      <c r="T151" s="16">
        <v>46226.8645833333</v>
      </c>
      <c r="U151" s="11">
        <v>4.1</v>
      </c>
      <c r="V151" s="11">
        <v>5</v>
      </c>
      <c r="W151" s="11">
        <v>3.5</v>
      </c>
      <c r="X151" s="11">
        <v>1.5</v>
      </c>
      <c r="Y151" s="11">
        <v>8</v>
      </c>
      <c r="Z151" s="12">
        <v>0.625</v>
      </c>
      <c r="AA151" t="s">
        <v>55</v>
      </c>
      <c r="AB151" t="s">
        <v>56</v>
      </c>
      <c r="AC151" t="s">
        <v>57</v>
      </c>
      <c r="AD151" t="str">
        <f t="shared" si="2"/>
        <v>CONFLICTO</v>
      </c>
    </row>
    <row r="152" spans="1:30">
      <c r="A152" t="s">
        <v>540</v>
      </c>
      <c r="B152" s="15">
        <v>46227</v>
      </c>
      <c r="C152" t="s">
        <v>93</v>
      </c>
      <c r="D152">
        <v>30</v>
      </c>
      <c r="E152" t="s">
        <v>541</v>
      </c>
      <c r="F152" t="s">
        <v>542</v>
      </c>
      <c r="G152" t="s">
        <v>48</v>
      </c>
      <c r="H152" t="s">
        <v>281</v>
      </c>
      <c r="I152" t="s">
        <v>72</v>
      </c>
      <c r="J152" t="s">
        <v>85</v>
      </c>
      <c r="K152" t="s">
        <v>165</v>
      </c>
      <c r="L152" t="s">
        <v>64</v>
      </c>
      <c r="M152" t="s">
        <v>79</v>
      </c>
      <c r="N152" s="16">
        <v>46227.6291666667</v>
      </c>
      <c r="O152" s="16">
        <v>46227.6458333333</v>
      </c>
      <c r="P152" s="16">
        <v>46227.67375</v>
      </c>
      <c r="Q152" s="16">
        <v>46227.6945833333</v>
      </c>
      <c r="R152" s="16">
        <v>46227.705</v>
      </c>
      <c r="S152" s="16">
        <v>46227.7216666667</v>
      </c>
      <c r="T152" s="16">
        <v>46227.7466666667</v>
      </c>
      <c r="U152" s="11">
        <v>0.55</v>
      </c>
      <c r="V152" s="11">
        <v>0.67</v>
      </c>
      <c r="W152" s="11">
        <v>0.67</v>
      </c>
      <c r="X152" s="11">
        <v>0</v>
      </c>
      <c r="Y152" s="11">
        <v>8</v>
      </c>
      <c r="Z152" s="12">
        <v>0.0838</v>
      </c>
      <c r="AA152" t="s">
        <v>66</v>
      </c>
      <c r="AB152" t="s">
        <v>56</v>
      </c>
      <c r="AC152" t="s">
        <v>57</v>
      </c>
      <c r="AD152" t="str">
        <f t="shared" si="2"/>
        <v>CONFLICTO</v>
      </c>
    </row>
    <row r="153" spans="1:30">
      <c r="A153" t="s">
        <v>543</v>
      </c>
      <c r="B153" s="15">
        <v>46230</v>
      </c>
      <c r="C153" t="s">
        <v>45</v>
      </c>
      <c r="D153">
        <v>31</v>
      </c>
      <c r="E153" t="s">
        <v>544</v>
      </c>
      <c r="F153" t="s">
        <v>545</v>
      </c>
      <c r="G153" t="s">
        <v>48</v>
      </c>
      <c r="H153" t="s">
        <v>121</v>
      </c>
      <c r="I153" t="s">
        <v>62</v>
      </c>
      <c r="J153" t="s">
        <v>63</v>
      </c>
      <c r="K153" t="s">
        <v>169</v>
      </c>
      <c r="L153" t="s">
        <v>53</v>
      </c>
      <c r="M153" t="s">
        <v>86</v>
      </c>
      <c r="N153" s="16">
        <v>46230.3166666667</v>
      </c>
      <c r="O153" s="16">
        <v>46230.3333333333</v>
      </c>
      <c r="P153" s="16">
        <v>46230.36625</v>
      </c>
      <c r="Q153" s="16">
        <v>46230.3870833333</v>
      </c>
      <c r="R153" s="16">
        <v>46230.3975</v>
      </c>
      <c r="S153" s="16">
        <v>46230.4141666667</v>
      </c>
      <c r="T153" s="16">
        <v>46230.4391666667</v>
      </c>
      <c r="U153" s="11">
        <v>0.65</v>
      </c>
      <c r="V153" s="11">
        <v>0.79</v>
      </c>
      <c r="W153" s="11">
        <v>0.79</v>
      </c>
      <c r="X153" s="11">
        <v>0</v>
      </c>
      <c r="Y153" s="11">
        <v>8</v>
      </c>
      <c r="Z153" s="12">
        <v>0.0988</v>
      </c>
      <c r="AA153" t="s">
        <v>66</v>
      </c>
      <c r="AB153" t="s">
        <v>56</v>
      </c>
      <c r="AC153" t="s">
        <v>57</v>
      </c>
      <c r="AD153" t="str">
        <f t="shared" si="2"/>
        <v>CONFLICTO</v>
      </c>
    </row>
    <row r="154" spans="1:30">
      <c r="A154" t="s">
        <v>546</v>
      </c>
      <c r="B154" s="15">
        <v>46230</v>
      </c>
      <c r="C154" t="s">
        <v>45</v>
      </c>
      <c r="D154">
        <v>31</v>
      </c>
      <c r="E154" t="s">
        <v>547</v>
      </c>
      <c r="F154" t="s">
        <v>548</v>
      </c>
      <c r="G154" t="s">
        <v>48</v>
      </c>
      <c r="H154" t="s">
        <v>281</v>
      </c>
      <c r="I154" t="s">
        <v>50</v>
      </c>
      <c r="J154" t="s">
        <v>51</v>
      </c>
      <c r="K154" t="s">
        <v>105</v>
      </c>
      <c r="L154" t="s">
        <v>64</v>
      </c>
      <c r="M154" t="s">
        <v>91</v>
      </c>
      <c r="N154" s="16">
        <v>46230.4</v>
      </c>
      <c r="O154" s="16">
        <v>46230.4166666667</v>
      </c>
      <c r="P154" s="16">
        <v>46230.6716666667</v>
      </c>
      <c r="Q154" s="16">
        <v>46230.6925</v>
      </c>
      <c r="R154" s="16">
        <v>46230.7029166667</v>
      </c>
      <c r="S154" s="16">
        <v>46230.7195833333</v>
      </c>
      <c r="T154" s="16">
        <v>46230.7445833333</v>
      </c>
      <c r="U154" s="11">
        <v>4.2</v>
      </c>
      <c r="V154" s="11">
        <v>5.12</v>
      </c>
      <c r="W154" s="11">
        <v>5.12</v>
      </c>
      <c r="X154" s="11">
        <v>0</v>
      </c>
      <c r="Y154" s="11">
        <v>8</v>
      </c>
      <c r="Z154" s="12">
        <v>0.64</v>
      </c>
      <c r="AA154" t="s">
        <v>55</v>
      </c>
      <c r="AB154" t="s">
        <v>56</v>
      </c>
      <c r="AC154" t="s">
        <v>57</v>
      </c>
      <c r="AD154" t="str">
        <f t="shared" si="2"/>
        <v>CONFLICTO</v>
      </c>
    </row>
    <row r="155" spans="1:30">
      <c r="A155" t="s">
        <v>549</v>
      </c>
      <c r="B155" s="15">
        <v>46227</v>
      </c>
      <c r="C155" t="s">
        <v>93</v>
      </c>
      <c r="D155">
        <v>30</v>
      </c>
      <c r="E155" t="s">
        <v>550</v>
      </c>
      <c r="F155" t="s">
        <v>551</v>
      </c>
      <c r="G155" t="s">
        <v>48</v>
      </c>
      <c r="H155" t="s">
        <v>173</v>
      </c>
      <c r="I155" t="s">
        <v>329</v>
      </c>
      <c r="J155" t="s">
        <v>63</v>
      </c>
      <c r="K155" t="s">
        <v>78</v>
      </c>
      <c r="L155" t="s">
        <v>53</v>
      </c>
      <c r="M155" t="s">
        <v>54</v>
      </c>
      <c r="N155" s="16">
        <v>46227.5666666667</v>
      </c>
      <c r="O155" s="16">
        <v>46227.5833333333</v>
      </c>
      <c r="P155" s="16">
        <v>46227.7508333333</v>
      </c>
      <c r="Q155" s="16">
        <v>46227.7716666667</v>
      </c>
      <c r="R155" s="16">
        <v>46227.7820833333</v>
      </c>
      <c r="S155" s="16">
        <v>46227.79875</v>
      </c>
      <c r="T155" s="16">
        <v>46227.82375</v>
      </c>
      <c r="U155" s="11">
        <v>3.3</v>
      </c>
      <c r="V155" s="11">
        <v>4.02</v>
      </c>
      <c r="W155" s="11">
        <v>3.5</v>
      </c>
      <c r="X155" s="11">
        <v>0.52</v>
      </c>
      <c r="Y155" s="11">
        <v>8</v>
      </c>
      <c r="Z155" s="12">
        <v>0.5025</v>
      </c>
      <c r="AA155" t="s">
        <v>66</v>
      </c>
      <c r="AB155" t="s">
        <v>56</v>
      </c>
      <c r="AC155" t="s">
        <v>57</v>
      </c>
      <c r="AD155" t="str">
        <f t="shared" si="2"/>
        <v>CONFLICTO</v>
      </c>
    </row>
    <row r="156" spans="1:30">
      <c r="A156" t="s">
        <v>552</v>
      </c>
      <c r="B156" s="15">
        <v>46220</v>
      </c>
      <c r="C156" t="s">
        <v>93</v>
      </c>
      <c r="D156">
        <v>29</v>
      </c>
      <c r="E156" t="s">
        <v>553</v>
      </c>
      <c r="F156" t="s">
        <v>554</v>
      </c>
      <c r="G156" t="s">
        <v>48</v>
      </c>
      <c r="H156" t="s">
        <v>71</v>
      </c>
      <c r="I156" t="s">
        <v>329</v>
      </c>
      <c r="J156" t="s">
        <v>63</v>
      </c>
      <c r="K156" t="s">
        <v>52</v>
      </c>
      <c r="L156" t="s">
        <v>64</v>
      </c>
      <c r="M156" t="s">
        <v>65</v>
      </c>
      <c r="N156" s="16">
        <v>46220.6291666667</v>
      </c>
      <c r="O156" s="16">
        <v>46220.6458333333</v>
      </c>
      <c r="P156" s="16">
        <v>46220.8133333333</v>
      </c>
      <c r="Q156" s="16">
        <v>46220.8341666667</v>
      </c>
      <c r="R156" s="16">
        <v>46220.8445833333</v>
      </c>
      <c r="S156" s="16">
        <v>46220.86125</v>
      </c>
      <c r="T156" s="16">
        <v>46220.88625</v>
      </c>
      <c r="U156" s="11">
        <v>3.3</v>
      </c>
      <c r="V156" s="11">
        <v>4.02</v>
      </c>
      <c r="W156" s="11">
        <v>2</v>
      </c>
      <c r="X156" s="11">
        <v>2.02</v>
      </c>
      <c r="Y156" s="11">
        <v>8</v>
      </c>
      <c r="Z156" s="12">
        <v>0.5025</v>
      </c>
      <c r="AA156" t="s">
        <v>66</v>
      </c>
      <c r="AB156" t="s">
        <v>56</v>
      </c>
      <c r="AC156" t="s">
        <v>57</v>
      </c>
      <c r="AD156" t="str">
        <f t="shared" si="2"/>
        <v>CONFLICTO</v>
      </c>
    </row>
    <row r="157" spans="1:30">
      <c r="A157" t="s">
        <v>555</v>
      </c>
      <c r="B157" s="15">
        <v>46225</v>
      </c>
      <c r="C157" t="s">
        <v>68</v>
      </c>
      <c r="D157">
        <v>30</v>
      </c>
      <c r="E157" t="s">
        <v>556</v>
      </c>
      <c r="F157" t="s">
        <v>557</v>
      </c>
      <c r="G157" t="s">
        <v>48</v>
      </c>
      <c r="H157" t="s">
        <v>116</v>
      </c>
      <c r="I157" t="s">
        <v>184</v>
      </c>
      <c r="J157" t="s">
        <v>51</v>
      </c>
      <c r="K157" t="s">
        <v>141</v>
      </c>
      <c r="L157" t="s">
        <v>53</v>
      </c>
      <c r="M157" t="s">
        <v>73</v>
      </c>
      <c r="N157" s="16">
        <v>46225.3166666667</v>
      </c>
      <c r="O157" s="16">
        <v>46225.3333333333</v>
      </c>
      <c r="P157" s="16">
        <v>46225.5416666667</v>
      </c>
      <c r="Q157" s="16">
        <v>46225.5625</v>
      </c>
      <c r="R157" s="16">
        <v>46225.5729166667</v>
      </c>
      <c r="S157" s="16">
        <v>46225.5895833333</v>
      </c>
      <c r="T157" s="16">
        <v>46225.6145833333</v>
      </c>
      <c r="U157" s="11">
        <v>4.1</v>
      </c>
      <c r="V157" s="11">
        <v>5</v>
      </c>
      <c r="W157" s="11">
        <v>5</v>
      </c>
      <c r="X157" s="11">
        <v>0</v>
      </c>
      <c r="Y157" s="11">
        <v>8</v>
      </c>
      <c r="Z157" s="12">
        <v>0.625</v>
      </c>
      <c r="AA157" t="s">
        <v>55</v>
      </c>
      <c r="AB157" t="s">
        <v>56</v>
      </c>
      <c r="AC157" t="s">
        <v>57</v>
      </c>
      <c r="AD157" t="str">
        <f t="shared" si="2"/>
        <v>CONFLICTO</v>
      </c>
    </row>
    <row r="158" spans="1:30">
      <c r="A158" t="s">
        <v>558</v>
      </c>
      <c r="B158" s="15">
        <v>46223</v>
      </c>
      <c r="C158" t="s">
        <v>45</v>
      </c>
      <c r="D158">
        <v>30</v>
      </c>
      <c r="E158" t="s">
        <v>559</v>
      </c>
      <c r="F158" t="s">
        <v>560</v>
      </c>
      <c r="G158" t="s">
        <v>48</v>
      </c>
      <c r="H158" t="s">
        <v>100</v>
      </c>
      <c r="I158" t="s">
        <v>50</v>
      </c>
      <c r="J158" t="s">
        <v>63</v>
      </c>
      <c r="K158" t="s">
        <v>105</v>
      </c>
      <c r="L158" t="s">
        <v>64</v>
      </c>
      <c r="M158" t="s">
        <v>79</v>
      </c>
      <c r="N158" s="16">
        <v>46223.4</v>
      </c>
      <c r="O158" s="16">
        <v>46223.4166666667</v>
      </c>
      <c r="P158" s="16">
        <v>46223.6716666667</v>
      </c>
      <c r="Q158" s="16">
        <v>46223.6925</v>
      </c>
      <c r="R158" s="16">
        <v>46223.7029166667</v>
      </c>
      <c r="S158" s="16">
        <v>46223.7195833333</v>
      </c>
      <c r="T158" s="16">
        <v>46223.7445833333</v>
      </c>
      <c r="U158" s="11">
        <v>4.2</v>
      </c>
      <c r="V158" s="11">
        <v>5.12</v>
      </c>
      <c r="W158" s="11">
        <v>5.12</v>
      </c>
      <c r="X158" s="11">
        <v>0</v>
      </c>
      <c r="Y158" s="11">
        <v>8</v>
      </c>
      <c r="Z158" s="12">
        <v>0.64</v>
      </c>
      <c r="AA158" t="s">
        <v>55</v>
      </c>
      <c r="AB158" t="s">
        <v>56</v>
      </c>
      <c r="AC158" t="s">
        <v>57</v>
      </c>
      <c r="AD158" t="str">
        <f t="shared" si="2"/>
        <v>CONFLICTO</v>
      </c>
    </row>
    <row r="159" spans="1:30">
      <c r="A159" t="s">
        <v>561</v>
      </c>
      <c r="B159" s="15">
        <v>46220</v>
      </c>
      <c r="C159" t="s">
        <v>93</v>
      </c>
      <c r="D159">
        <v>29</v>
      </c>
      <c r="E159" t="s">
        <v>562</v>
      </c>
      <c r="F159" t="s">
        <v>563</v>
      </c>
      <c r="G159" t="s">
        <v>48</v>
      </c>
      <c r="H159" t="s">
        <v>83</v>
      </c>
      <c r="I159" t="s">
        <v>184</v>
      </c>
      <c r="J159" t="s">
        <v>51</v>
      </c>
      <c r="K159" t="s">
        <v>165</v>
      </c>
      <c r="L159" t="s">
        <v>53</v>
      </c>
      <c r="M159" t="s">
        <v>86</v>
      </c>
      <c r="N159" s="16">
        <v>46220.5666666667</v>
      </c>
      <c r="O159" s="16">
        <v>46220.5833333333</v>
      </c>
      <c r="P159" s="16">
        <v>46220.7916666667</v>
      </c>
      <c r="Q159" s="16">
        <v>46220.8125</v>
      </c>
      <c r="R159" s="16">
        <v>46220.8229166667</v>
      </c>
      <c r="S159" s="16">
        <v>46220.8395833333</v>
      </c>
      <c r="T159" s="16">
        <v>46220.8645833333</v>
      </c>
      <c r="U159" s="11">
        <v>4.1</v>
      </c>
      <c r="V159" s="11">
        <v>5</v>
      </c>
      <c r="W159" s="11">
        <v>3.5</v>
      </c>
      <c r="X159" s="11">
        <v>1.5</v>
      </c>
      <c r="Y159" s="11">
        <v>8</v>
      </c>
      <c r="Z159" s="12">
        <v>0.625</v>
      </c>
      <c r="AA159" t="s">
        <v>55</v>
      </c>
      <c r="AB159" t="s">
        <v>56</v>
      </c>
      <c r="AC159" t="s">
        <v>57</v>
      </c>
      <c r="AD159" t="str">
        <f t="shared" si="2"/>
        <v>OK</v>
      </c>
    </row>
    <row r="160" spans="1:30">
      <c r="A160" t="s">
        <v>564</v>
      </c>
      <c r="B160" s="15">
        <v>46224</v>
      </c>
      <c r="C160" t="s">
        <v>88</v>
      </c>
      <c r="D160">
        <v>30</v>
      </c>
      <c r="E160" t="s">
        <v>565</v>
      </c>
      <c r="F160" t="s">
        <v>566</v>
      </c>
      <c r="G160" t="s">
        <v>48</v>
      </c>
      <c r="H160" t="s">
        <v>281</v>
      </c>
      <c r="I160" t="s">
        <v>77</v>
      </c>
      <c r="J160" t="s">
        <v>85</v>
      </c>
      <c r="K160" t="s">
        <v>141</v>
      </c>
      <c r="L160" t="s">
        <v>64</v>
      </c>
      <c r="M160" t="s">
        <v>91</v>
      </c>
      <c r="N160" s="16">
        <v>46224.6291666667</v>
      </c>
      <c r="O160" s="16">
        <v>46224.6458333333</v>
      </c>
      <c r="P160" s="16">
        <v>46224.6891666667</v>
      </c>
      <c r="Q160" s="16">
        <v>46224.71</v>
      </c>
      <c r="R160" s="16">
        <v>46224.7204166667</v>
      </c>
      <c r="S160" s="16">
        <v>46224.7370833333</v>
      </c>
      <c r="T160" s="16">
        <v>46224.7620833333</v>
      </c>
      <c r="U160" s="11">
        <v>0.85</v>
      </c>
      <c r="V160" s="11">
        <v>1.04</v>
      </c>
      <c r="W160" s="11">
        <v>1.04</v>
      </c>
      <c r="X160" s="11">
        <v>0</v>
      </c>
      <c r="Y160" s="11">
        <v>8</v>
      </c>
      <c r="Z160" s="12">
        <v>0.13</v>
      </c>
      <c r="AA160" t="s">
        <v>66</v>
      </c>
      <c r="AB160" t="s">
        <v>56</v>
      </c>
      <c r="AC160" t="s">
        <v>57</v>
      </c>
      <c r="AD160" t="str">
        <f t="shared" si="2"/>
        <v>CONFLICTO</v>
      </c>
    </row>
    <row r="161" spans="1:30">
      <c r="A161" t="s">
        <v>567</v>
      </c>
      <c r="B161" s="15">
        <v>46225</v>
      </c>
      <c r="C161" t="s">
        <v>68</v>
      </c>
      <c r="D161">
        <v>30</v>
      </c>
      <c r="E161" t="s">
        <v>568</v>
      </c>
      <c r="F161" t="s">
        <v>569</v>
      </c>
      <c r="G161" t="s">
        <v>48</v>
      </c>
      <c r="H161" t="s">
        <v>116</v>
      </c>
      <c r="I161" t="s">
        <v>177</v>
      </c>
      <c r="J161" t="s">
        <v>117</v>
      </c>
      <c r="K161" t="s">
        <v>165</v>
      </c>
      <c r="L161" t="s">
        <v>53</v>
      </c>
      <c r="M161" t="s">
        <v>54</v>
      </c>
      <c r="N161" s="16">
        <v>46225.3166666667</v>
      </c>
      <c r="O161" s="16">
        <v>46225.3333333333</v>
      </c>
      <c r="P161" s="16">
        <v>46225.36875</v>
      </c>
      <c r="Q161" s="16">
        <v>46225.3895833333</v>
      </c>
      <c r="R161" s="16">
        <v>46225.4</v>
      </c>
      <c r="S161" s="16">
        <v>46225.4166666667</v>
      </c>
      <c r="T161" s="16">
        <v>46225.4416666667</v>
      </c>
      <c r="U161" s="11">
        <v>0.7</v>
      </c>
      <c r="V161" s="11">
        <v>0.85</v>
      </c>
      <c r="W161" s="11">
        <v>0.85</v>
      </c>
      <c r="X161" s="11">
        <v>0</v>
      </c>
      <c r="Y161" s="11">
        <v>8</v>
      </c>
      <c r="Z161" s="12">
        <v>0.1062</v>
      </c>
      <c r="AA161" t="s">
        <v>66</v>
      </c>
      <c r="AB161" t="s">
        <v>56</v>
      </c>
      <c r="AC161" t="s">
        <v>57</v>
      </c>
      <c r="AD161" t="str">
        <f t="shared" si="2"/>
        <v>OK</v>
      </c>
    </row>
    <row r="162" spans="1:30">
      <c r="A162" t="s">
        <v>570</v>
      </c>
      <c r="B162" s="15">
        <v>46227</v>
      </c>
      <c r="C162" t="s">
        <v>93</v>
      </c>
      <c r="D162">
        <v>30</v>
      </c>
      <c r="E162" t="s">
        <v>571</v>
      </c>
      <c r="F162" t="s">
        <v>572</v>
      </c>
      <c r="G162" t="s">
        <v>48</v>
      </c>
      <c r="H162" t="s">
        <v>216</v>
      </c>
      <c r="I162" t="s">
        <v>77</v>
      </c>
      <c r="J162" t="s">
        <v>51</v>
      </c>
      <c r="K162" t="s">
        <v>105</v>
      </c>
      <c r="L162" t="s">
        <v>64</v>
      </c>
      <c r="M162" t="s">
        <v>65</v>
      </c>
      <c r="N162" s="16">
        <v>46227.4</v>
      </c>
      <c r="O162" s="16">
        <v>46227.4166666667</v>
      </c>
      <c r="P162" s="16">
        <v>46227.46</v>
      </c>
      <c r="Q162" s="16">
        <v>46227.4808333333</v>
      </c>
      <c r="R162" s="16">
        <v>46227.49125</v>
      </c>
      <c r="S162" s="16">
        <v>46227.5079166667</v>
      </c>
      <c r="T162" s="16">
        <v>46227.5329166667</v>
      </c>
      <c r="U162" s="11">
        <v>0.85</v>
      </c>
      <c r="V162" s="11">
        <v>1.04</v>
      </c>
      <c r="W162" s="11">
        <v>1.04</v>
      </c>
      <c r="X162" s="11">
        <v>0</v>
      </c>
      <c r="Y162" s="11">
        <v>8</v>
      </c>
      <c r="Z162" s="12">
        <v>0.13</v>
      </c>
      <c r="AA162" t="s">
        <v>66</v>
      </c>
      <c r="AB162" t="s">
        <v>56</v>
      </c>
      <c r="AC162" t="s">
        <v>57</v>
      </c>
      <c r="AD162" t="str">
        <f t="shared" si="2"/>
        <v>CONFLICTO</v>
      </c>
    </row>
    <row r="163" spans="1:30">
      <c r="A163" t="s">
        <v>573</v>
      </c>
      <c r="B163" s="15">
        <v>46223</v>
      </c>
      <c r="C163" t="s">
        <v>45</v>
      </c>
      <c r="D163">
        <v>30</v>
      </c>
      <c r="E163" t="s">
        <v>574</v>
      </c>
      <c r="F163" t="s">
        <v>575</v>
      </c>
      <c r="G163" t="s">
        <v>48</v>
      </c>
      <c r="H163" t="s">
        <v>256</v>
      </c>
      <c r="I163" t="s">
        <v>62</v>
      </c>
      <c r="J163" t="s">
        <v>117</v>
      </c>
      <c r="K163" t="s">
        <v>78</v>
      </c>
      <c r="L163" t="s">
        <v>53</v>
      </c>
      <c r="M163" t="s">
        <v>73</v>
      </c>
      <c r="N163" s="16">
        <v>46223.5666666667</v>
      </c>
      <c r="O163" s="16">
        <v>46223.5833333333</v>
      </c>
      <c r="P163" s="16">
        <v>46223.61625</v>
      </c>
      <c r="Q163" s="16">
        <v>46223.6370833333</v>
      </c>
      <c r="R163" s="16">
        <v>46223.6475</v>
      </c>
      <c r="S163" s="16">
        <v>46223.6641666667</v>
      </c>
      <c r="T163" s="16">
        <v>46223.6891666667</v>
      </c>
      <c r="U163" s="11">
        <v>0.65</v>
      </c>
      <c r="V163" s="11">
        <v>0.79</v>
      </c>
      <c r="W163" s="11">
        <v>0.79</v>
      </c>
      <c r="X163" s="11">
        <v>0</v>
      </c>
      <c r="Y163" s="11">
        <v>8</v>
      </c>
      <c r="Z163" s="12">
        <v>0.0988</v>
      </c>
      <c r="AA163" t="s">
        <v>66</v>
      </c>
      <c r="AB163" t="s">
        <v>56</v>
      </c>
      <c r="AC163" t="s">
        <v>57</v>
      </c>
      <c r="AD163" t="str">
        <f t="shared" si="2"/>
        <v>CONFLICTO</v>
      </c>
    </row>
    <row r="164" spans="1:30">
      <c r="A164" t="s">
        <v>576</v>
      </c>
      <c r="B164" s="15">
        <v>46216</v>
      </c>
      <c r="C164" t="s">
        <v>45</v>
      </c>
      <c r="D164">
        <v>29</v>
      </c>
      <c r="E164" t="s">
        <v>577</v>
      </c>
      <c r="F164" t="s">
        <v>578</v>
      </c>
      <c r="G164" t="s">
        <v>48</v>
      </c>
      <c r="H164" t="s">
        <v>116</v>
      </c>
      <c r="I164" t="s">
        <v>72</v>
      </c>
      <c r="J164" t="s">
        <v>51</v>
      </c>
      <c r="K164" t="s">
        <v>169</v>
      </c>
      <c r="L164" t="s">
        <v>64</v>
      </c>
      <c r="M164" t="s">
        <v>79</v>
      </c>
      <c r="N164" s="16">
        <v>46216.6291666667</v>
      </c>
      <c r="O164" s="16">
        <v>46216.6458333333</v>
      </c>
      <c r="P164" s="16">
        <v>46216.67375</v>
      </c>
      <c r="Q164" s="16">
        <v>46216.6945833333</v>
      </c>
      <c r="R164" s="16">
        <v>46216.705</v>
      </c>
      <c r="S164" s="16">
        <v>46216.7216666667</v>
      </c>
      <c r="T164" s="16">
        <v>46216.7466666667</v>
      </c>
      <c r="U164" s="11">
        <v>0.55</v>
      </c>
      <c r="V164" s="11">
        <v>0.67</v>
      </c>
      <c r="W164" s="11">
        <v>0.67</v>
      </c>
      <c r="X164" s="11">
        <v>0</v>
      </c>
      <c r="Y164" s="11">
        <v>8</v>
      </c>
      <c r="Z164" s="12">
        <v>0.0838</v>
      </c>
      <c r="AA164" t="s">
        <v>66</v>
      </c>
      <c r="AB164" t="s">
        <v>56</v>
      </c>
      <c r="AC164" t="s">
        <v>57</v>
      </c>
      <c r="AD164" t="str">
        <f t="shared" si="2"/>
        <v>CONFLICTO</v>
      </c>
    </row>
    <row r="165" spans="1:30">
      <c r="A165" t="s">
        <v>579</v>
      </c>
      <c r="B165" s="15">
        <v>46226</v>
      </c>
      <c r="C165" t="s">
        <v>107</v>
      </c>
      <c r="D165">
        <v>30</v>
      </c>
      <c r="E165" t="s">
        <v>580</v>
      </c>
      <c r="F165" t="s">
        <v>581</v>
      </c>
      <c r="G165" t="s">
        <v>48</v>
      </c>
      <c r="H165" t="s">
        <v>100</v>
      </c>
      <c r="I165" t="s">
        <v>50</v>
      </c>
      <c r="J165" t="s">
        <v>51</v>
      </c>
      <c r="K165" t="s">
        <v>165</v>
      </c>
      <c r="L165" t="s">
        <v>53</v>
      </c>
      <c r="M165" t="s">
        <v>86</v>
      </c>
      <c r="N165" s="16">
        <v>46226.3166666667</v>
      </c>
      <c r="O165" s="16">
        <v>46226.3333333333</v>
      </c>
      <c r="P165" s="16">
        <v>46226.5883333333</v>
      </c>
      <c r="Q165" s="16">
        <v>46226.6091666667</v>
      </c>
      <c r="R165" s="16">
        <v>46226.6195833333</v>
      </c>
      <c r="S165" s="16">
        <v>46226.63625</v>
      </c>
      <c r="T165" s="16">
        <v>46226.66125</v>
      </c>
      <c r="U165" s="11">
        <v>4.2</v>
      </c>
      <c r="V165" s="11">
        <v>5.12</v>
      </c>
      <c r="W165" s="11">
        <v>5.12</v>
      </c>
      <c r="X165" s="11">
        <v>0</v>
      </c>
      <c r="Y165" s="11">
        <v>8</v>
      </c>
      <c r="Z165" s="12">
        <v>0.64</v>
      </c>
      <c r="AA165" t="s">
        <v>55</v>
      </c>
      <c r="AB165" t="s">
        <v>56</v>
      </c>
      <c r="AC165" t="s">
        <v>57</v>
      </c>
      <c r="AD165" t="str">
        <f t="shared" si="2"/>
        <v>OK</v>
      </c>
    </row>
    <row r="166" spans="1:30">
      <c r="A166" t="s">
        <v>582</v>
      </c>
      <c r="B166" s="15">
        <v>46219</v>
      </c>
      <c r="C166" t="s">
        <v>107</v>
      </c>
      <c r="D166">
        <v>29</v>
      </c>
      <c r="E166" t="s">
        <v>583</v>
      </c>
      <c r="F166" t="s">
        <v>584</v>
      </c>
      <c r="G166" t="s">
        <v>48</v>
      </c>
      <c r="H166" t="s">
        <v>100</v>
      </c>
      <c r="I166" t="s">
        <v>77</v>
      </c>
      <c r="J166" t="s">
        <v>117</v>
      </c>
      <c r="K166" t="s">
        <v>165</v>
      </c>
      <c r="L166" t="s">
        <v>64</v>
      </c>
      <c r="M166" t="s">
        <v>91</v>
      </c>
      <c r="N166" s="16">
        <v>46219.4</v>
      </c>
      <c r="O166" s="16">
        <v>46219.4166666667</v>
      </c>
      <c r="P166" s="16">
        <v>46219.46</v>
      </c>
      <c r="Q166" s="16">
        <v>46219.4808333333</v>
      </c>
      <c r="R166" s="16">
        <v>46219.49125</v>
      </c>
      <c r="S166" s="16">
        <v>46219.5079166667</v>
      </c>
      <c r="T166" s="16">
        <v>46219.5329166667</v>
      </c>
      <c r="U166" s="11">
        <v>0.85</v>
      </c>
      <c r="V166" s="11">
        <v>1.04</v>
      </c>
      <c r="W166" s="11">
        <v>1.04</v>
      </c>
      <c r="X166" s="11">
        <v>0</v>
      </c>
      <c r="Y166" s="11">
        <v>8</v>
      </c>
      <c r="Z166" s="12">
        <v>0.13</v>
      </c>
      <c r="AA166" t="s">
        <v>66</v>
      </c>
      <c r="AB166" t="s">
        <v>56</v>
      </c>
      <c r="AC166" t="s">
        <v>57</v>
      </c>
      <c r="AD166" t="str">
        <f t="shared" si="2"/>
        <v>CONFLICTO</v>
      </c>
    </row>
    <row r="167" spans="1:30">
      <c r="A167" t="s">
        <v>585</v>
      </c>
      <c r="B167" s="15">
        <v>46220</v>
      </c>
      <c r="C167" t="s">
        <v>93</v>
      </c>
      <c r="D167">
        <v>29</v>
      </c>
      <c r="E167" t="s">
        <v>586</v>
      </c>
      <c r="F167" t="s">
        <v>587</v>
      </c>
      <c r="G167" t="s">
        <v>48</v>
      </c>
      <c r="H167" t="s">
        <v>71</v>
      </c>
      <c r="I167" t="s">
        <v>101</v>
      </c>
      <c r="J167" t="s">
        <v>63</v>
      </c>
      <c r="K167" t="s">
        <v>105</v>
      </c>
      <c r="L167" t="s">
        <v>53</v>
      </c>
      <c r="M167" t="s">
        <v>54</v>
      </c>
      <c r="N167" s="16">
        <v>46220.5666666667</v>
      </c>
      <c r="O167" s="16">
        <v>46220.5833333333</v>
      </c>
      <c r="P167" s="16">
        <v>46220.61875</v>
      </c>
      <c r="Q167" s="16">
        <v>46220.6395833333</v>
      </c>
      <c r="R167" s="16">
        <v>46220.65</v>
      </c>
      <c r="S167" s="16">
        <v>46220.6666666667</v>
      </c>
      <c r="T167" s="16">
        <v>46220.6916666667</v>
      </c>
      <c r="U167" s="11">
        <v>0.7</v>
      </c>
      <c r="V167" s="11">
        <v>0.85</v>
      </c>
      <c r="W167" s="11">
        <v>0.85</v>
      </c>
      <c r="X167" s="11">
        <v>0</v>
      </c>
      <c r="Y167" s="11">
        <v>8</v>
      </c>
      <c r="Z167" s="12">
        <v>0.1062</v>
      </c>
      <c r="AA167" t="s">
        <v>66</v>
      </c>
      <c r="AB167" t="s">
        <v>56</v>
      </c>
      <c r="AC167" t="s">
        <v>57</v>
      </c>
      <c r="AD167" t="str">
        <f t="shared" si="2"/>
        <v>CONFLICTO</v>
      </c>
    </row>
    <row r="168" spans="1:30">
      <c r="A168" t="s">
        <v>588</v>
      </c>
      <c r="B168" s="15">
        <v>46225</v>
      </c>
      <c r="C168" t="s">
        <v>68</v>
      </c>
      <c r="D168">
        <v>30</v>
      </c>
      <c r="E168" t="s">
        <v>589</v>
      </c>
      <c r="F168" t="s">
        <v>590</v>
      </c>
      <c r="G168" t="s">
        <v>48</v>
      </c>
      <c r="H168" t="s">
        <v>281</v>
      </c>
      <c r="I168" t="s">
        <v>101</v>
      </c>
      <c r="J168" t="s">
        <v>51</v>
      </c>
      <c r="K168" t="s">
        <v>165</v>
      </c>
      <c r="L168" t="s">
        <v>64</v>
      </c>
      <c r="M168" t="s">
        <v>65</v>
      </c>
      <c r="N168" s="16">
        <v>46225.6291666667</v>
      </c>
      <c r="O168" s="16">
        <v>46225.6458333333</v>
      </c>
      <c r="P168" s="16">
        <v>46225.68125</v>
      </c>
      <c r="Q168" s="16">
        <v>46225.7020833333</v>
      </c>
      <c r="R168" s="16">
        <v>46225.7125</v>
      </c>
      <c r="S168" s="16">
        <v>46225.7291666667</v>
      </c>
      <c r="T168" s="16">
        <v>46225.7541666667</v>
      </c>
      <c r="U168" s="11">
        <v>0.7</v>
      </c>
      <c r="V168" s="11">
        <v>0.85</v>
      </c>
      <c r="W168" s="11">
        <v>0.85</v>
      </c>
      <c r="X168" s="11">
        <v>0</v>
      </c>
      <c r="Y168" s="11">
        <v>8</v>
      </c>
      <c r="Z168" s="12">
        <v>0.1062</v>
      </c>
      <c r="AA168" t="s">
        <v>66</v>
      </c>
      <c r="AB168" t="s">
        <v>56</v>
      </c>
      <c r="AC168" t="s">
        <v>57</v>
      </c>
      <c r="AD168" t="str">
        <f t="shared" si="2"/>
        <v>CONFLICTO</v>
      </c>
    </row>
    <row r="169" spans="1:30">
      <c r="A169" t="s">
        <v>591</v>
      </c>
      <c r="B169" s="15">
        <v>46223</v>
      </c>
      <c r="C169" t="s">
        <v>45</v>
      </c>
      <c r="D169">
        <v>30</v>
      </c>
      <c r="E169" t="s">
        <v>592</v>
      </c>
      <c r="F169" t="s">
        <v>593</v>
      </c>
      <c r="G169" t="s">
        <v>48</v>
      </c>
      <c r="H169" t="s">
        <v>256</v>
      </c>
      <c r="I169" t="s">
        <v>122</v>
      </c>
      <c r="J169" t="s">
        <v>85</v>
      </c>
      <c r="K169" t="s">
        <v>78</v>
      </c>
      <c r="L169" t="s">
        <v>53</v>
      </c>
      <c r="M169" t="s">
        <v>73</v>
      </c>
      <c r="N169" s="16">
        <v>46223.3166666667</v>
      </c>
      <c r="O169" s="16">
        <v>46223.3333333333</v>
      </c>
      <c r="P169" s="16">
        <v>46223.5316666667</v>
      </c>
      <c r="Q169" s="16">
        <v>46223.5525</v>
      </c>
      <c r="R169" s="16">
        <v>46223.5629166667</v>
      </c>
      <c r="S169" s="16">
        <v>46223.5795833333</v>
      </c>
      <c r="T169" s="16">
        <v>46223.6045833333</v>
      </c>
      <c r="U169" s="11">
        <v>3.9</v>
      </c>
      <c r="V169" s="11">
        <v>4.76</v>
      </c>
      <c r="W169" s="11">
        <v>4.76</v>
      </c>
      <c r="X169" s="11">
        <v>0</v>
      </c>
      <c r="Y169" s="11">
        <v>8</v>
      </c>
      <c r="Z169" s="12">
        <v>0.595</v>
      </c>
      <c r="AA169" t="s">
        <v>66</v>
      </c>
      <c r="AB169" t="s">
        <v>56</v>
      </c>
      <c r="AC169" t="s">
        <v>57</v>
      </c>
      <c r="AD169" t="str">
        <f t="shared" si="2"/>
        <v>OK</v>
      </c>
    </row>
    <row r="170" spans="1:30">
      <c r="A170" t="s">
        <v>594</v>
      </c>
      <c r="B170" s="15">
        <v>46220</v>
      </c>
      <c r="C170" t="s">
        <v>93</v>
      </c>
      <c r="D170">
        <v>29</v>
      </c>
      <c r="E170" t="s">
        <v>595</v>
      </c>
      <c r="F170" t="s">
        <v>596</v>
      </c>
      <c r="G170" t="s">
        <v>48</v>
      </c>
      <c r="H170" t="s">
        <v>116</v>
      </c>
      <c r="I170" t="s">
        <v>77</v>
      </c>
      <c r="J170" t="s">
        <v>85</v>
      </c>
      <c r="K170" t="s">
        <v>78</v>
      </c>
      <c r="L170" t="s">
        <v>64</v>
      </c>
      <c r="M170" t="s">
        <v>79</v>
      </c>
      <c r="N170" s="16">
        <v>46220.4</v>
      </c>
      <c r="O170" s="16">
        <v>46220.4166666667</v>
      </c>
      <c r="P170" s="16">
        <v>46220.46</v>
      </c>
      <c r="Q170" s="16">
        <v>46220.4808333333</v>
      </c>
      <c r="R170" s="16">
        <v>46220.49125</v>
      </c>
      <c r="S170" s="16">
        <v>46220.5079166667</v>
      </c>
      <c r="T170" s="16">
        <v>46220.5329166667</v>
      </c>
      <c r="U170" s="11">
        <v>0.85</v>
      </c>
      <c r="V170" s="11">
        <v>1.04</v>
      </c>
      <c r="W170" s="11">
        <v>1.04</v>
      </c>
      <c r="X170" s="11">
        <v>0</v>
      </c>
      <c r="Y170" s="11">
        <v>8</v>
      </c>
      <c r="Z170" s="12">
        <v>0.13</v>
      </c>
      <c r="AA170" t="s">
        <v>66</v>
      </c>
      <c r="AB170" t="s">
        <v>56</v>
      </c>
      <c r="AC170" t="s">
        <v>57</v>
      </c>
      <c r="AD170" t="str">
        <f t="shared" si="2"/>
        <v>CONFLICTO</v>
      </c>
    </row>
    <row r="171" spans="1:30">
      <c r="A171" t="s">
        <v>597</v>
      </c>
      <c r="B171" s="15">
        <v>46219</v>
      </c>
      <c r="C171" t="s">
        <v>107</v>
      </c>
      <c r="D171">
        <v>29</v>
      </c>
      <c r="E171" t="s">
        <v>598</v>
      </c>
      <c r="F171" t="s">
        <v>599</v>
      </c>
      <c r="G171" t="s">
        <v>48</v>
      </c>
      <c r="H171" t="s">
        <v>173</v>
      </c>
      <c r="I171" t="s">
        <v>72</v>
      </c>
      <c r="J171" t="s">
        <v>63</v>
      </c>
      <c r="K171" t="s">
        <v>52</v>
      </c>
      <c r="L171" t="s">
        <v>53</v>
      </c>
      <c r="M171" t="s">
        <v>86</v>
      </c>
      <c r="N171" s="16">
        <v>46219.5666666667</v>
      </c>
      <c r="O171" s="16">
        <v>46219.5833333333</v>
      </c>
      <c r="P171" s="16">
        <v>46219.61125</v>
      </c>
      <c r="Q171" s="16">
        <v>46219.6320833333</v>
      </c>
      <c r="R171" s="16">
        <v>46219.6425</v>
      </c>
      <c r="S171" s="16">
        <v>46219.6591666667</v>
      </c>
      <c r="T171" s="16">
        <v>46219.6841666667</v>
      </c>
      <c r="U171" s="11">
        <v>0.55</v>
      </c>
      <c r="V171" s="11">
        <v>0.67</v>
      </c>
      <c r="W171" s="11">
        <v>0.67</v>
      </c>
      <c r="X171" s="11">
        <v>0</v>
      </c>
      <c r="Y171" s="11">
        <v>8</v>
      </c>
      <c r="Z171" s="12">
        <v>0.0838</v>
      </c>
      <c r="AA171" t="s">
        <v>66</v>
      </c>
      <c r="AB171" t="s">
        <v>56</v>
      </c>
      <c r="AC171" t="s">
        <v>57</v>
      </c>
      <c r="AD171" t="str">
        <f t="shared" si="2"/>
        <v>CONFLICTO</v>
      </c>
    </row>
    <row r="172" spans="1:30">
      <c r="A172" t="s">
        <v>600</v>
      </c>
      <c r="B172" s="15">
        <v>46223</v>
      </c>
      <c r="C172" t="s">
        <v>45</v>
      </c>
      <c r="D172">
        <v>30</v>
      </c>
      <c r="E172" t="s">
        <v>601</v>
      </c>
      <c r="F172" t="s">
        <v>602</v>
      </c>
      <c r="G172" t="s">
        <v>48</v>
      </c>
      <c r="H172" t="s">
        <v>256</v>
      </c>
      <c r="I172" t="s">
        <v>84</v>
      </c>
      <c r="J172" t="s">
        <v>63</v>
      </c>
      <c r="K172" t="s">
        <v>169</v>
      </c>
      <c r="L172" t="s">
        <v>64</v>
      </c>
      <c r="M172" t="s">
        <v>91</v>
      </c>
      <c r="N172" s="16">
        <v>46223.6291666667</v>
      </c>
      <c r="O172" s="16">
        <v>46223.6458333333</v>
      </c>
      <c r="P172" s="16">
        <v>46223.8745833333</v>
      </c>
      <c r="Q172" s="16">
        <v>46223.8954166667</v>
      </c>
      <c r="R172" s="16">
        <v>46223.9058333333</v>
      </c>
      <c r="S172" s="16">
        <v>46223.9225</v>
      </c>
      <c r="T172" s="16">
        <v>46223.9475</v>
      </c>
      <c r="U172" s="11">
        <v>4.5</v>
      </c>
      <c r="V172" s="11">
        <v>5.49</v>
      </c>
      <c r="W172" s="11">
        <v>2.49</v>
      </c>
      <c r="X172" s="11">
        <v>3</v>
      </c>
      <c r="Y172" s="11">
        <v>8</v>
      </c>
      <c r="Z172" s="12">
        <v>0.6863</v>
      </c>
      <c r="AA172" t="s">
        <v>55</v>
      </c>
      <c r="AB172" t="s">
        <v>56</v>
      </c>
      <c r="AC172" t="s">
        <v>57</v>
      </c>
      <c r="AD172" t="str">
        <f t="shared" si="2"/>
        <v>CONFLICTO</v>
      </c>
    </row>
    <row r="173" spans="1:30">
      <c r="A173" t="s">
        <v>603</v>
      </c>
      <c r="B173" s="15">
        <v>46230</v>
      </c>
      <c r="C173" t="s">
        <v>45</v>
      </c>
      <c r="D173">
        <v>31</v>
      </c>
      <c r="E173" t="s">
        <v>604</v>
      </c>
      <c r="F173" t="s">
        <v>605</v>
      </c>
      <c r="G173" t="s">
        <v>48</v>
      </c>
      <c r="H173" t="s">
        <v>116</v>
      </c>
      <c r="I173" t="s">
        <v>329</v>
      </c>
      <c r="J173" t="s">
        <v>63</v>
      </c>
      <c r="K173" t="s">
        <v>169</v>
      </c>
      <c r="L173" t="s">
        <v>53</v>
      </c>
      <c r="M173" t="s">
        <v>54</v>
      </c>
      <c r="N173" s="16">
        <v>46230.3166666667</v>
      </c>
      <c r="O173" s="16">
        <v>46230.3333333333</v>
      </c>
      <c r="P173" s="16">
        <v>46230.5008333333</v>
      </c>
      <c r="Q173" s="16">
        <v>46230.5216666667</v>
      </c>
      <c r="R173" s="16">
        <v>46230.5320833333</v>
      </c>
      <c r="S173" s="16">
        <v>46230.54875</v>
      </c>
      <c r="T173" s="16">
        <v>46230.57375</v>
      </c>
      <c r="U173" s="11">
        <v>3.3</v>
      </c>
      <c r="V173" s="11">
        <v>4.02</v>
      </c>
      <c r="W173" s="11">
        <v>4.02</v>
      </c>
      <c r="X173" s="11">
        <v>0</v>
      </c>
      <c r="Y173" s="11">
        <v>8</v>
      </c>
      <c r="Z173" s="12">
        <v>0.5025</v>
      </c>
      <c r="AA173" t="s">
        <v>66</v>
      </c>
      <c r="AB173" t="s">
        <v>56</v>
      </c>
      <c r="AC173" t="s">
        <v>57</v>
      </c>
      <c r="AD173" t="str">
        <f t="shared" si="2"/>
        <v>CONFLICTO</v>
      </c>
    </row>
    <row r="174" spans="1:30">
      <c r="A174" t="s">
        <v>606</v>
      </c>
      <c r="B174" s="15">
        <v>46219</v>
      </c>
      <c r="C174" t="s">
        <v>107</v>
      </c>
      <c r="D174">
        <v>29</v>
      </c>
      <c r="E174" t="s">
        <v>607</v>
      </c>
      <c r="F174" t="s">
        <v>608</v>
      </c>
      <c r="G174" t="s">
        <v>48</v>
      </c>
      <c r="H174" t="s">
        <v>96</v>
      </c>
      <c r="I174" t="s">
        <v>329</v>
      </c>
      <c r="J174" t="s">
        <v>63</v>
      </c>
      <c r="K174" t="s">
        <v>169</v>
      </c>
      <c r="L174" t="s">
        <v>64</v>
      </c>
      <c r="M174" t="s">
        <v>65</v>
      </c>
      <c r="N174" s="16">
        <v>46219.4</v>
      </c>
      <c r="O174" s="16">
        <v>46219.4166666667</v>
      </c>
      <c r="P174" s="16">
        <v>46219.6258333333</v>
      </c>
      <c r="Q174" s="16">
        <v>46219.6466666667</v>
      </c>
      <c r="R174" s="16">
        <v>46219.6570833333</v>
      </c>
      <c r="S174" s="16">
        <v>46219.67375</v>
      </c>
      <c r="T174" s="16">
        <v>46219.69875</v>
      </c>
      <c r="U174" s="11">
        <v>3.3</v>
      </c>
      <c r="V174" s="11">
        <v>4.02</v>
      </c>
      <c r="W174" s="11">
        <v>4.02</v>
      </c>
      <c r="X174" s="11">
        <v>0</v>
      </c>
      <c r="Y174" s="11">
        <v>8</v>
      </c>
      <c r="Z174" s="12">
        <v>0.5025</v>
      </c>
      <c r="AA174" t="s">
        <v>66</v>
      </c>
      <c r="AB174" t="s">
        <v>56</v>
      </c>
      <c r="AC174" t="s">
        <v>57</v>
      </c>
      <c r="AD174" t="str">
        <f t="shared" si="2"/>
        <v>CONFLICTO</v>
      </c>
    </row>
    <row r="175" spans="1:30">
      <c r="A175" t="s">
        <v>609</v>
      </c>
      <c r="B175" s="15">
        <v>46227</v>
      </c>
      <c r="C175" t="s">
        <v>93</v>
      </c>
      <c r="D175">
        <v>30</v>
      </c>
      <c r="E175" t="s">
        <v>610</v>
      </c>
      <c r="F175" t="s">
        <v>611</v>
      </c>
      <c r="G175" t="s">
        <v>48</v>
      </c>
      <c r="H175" t="s">
        <v>281</v>
      </c>
      <c r="I175" t="s">
        <v>84</v>
      </c>
      <c r="J175" t="s">
        <v>117</v>
      </c>
      <c r="K175" t="s">
        <v>165</v>
      </c>
      <c r="L175" t="s">
        <v>53</v>
      </c>
      <c r="M175" t="s">
        <v>73</v>
      </c>
      <c r="N175" s="16">
        <v>46227.5666666667</v>
      </c>
      <c r="O175" s="16">
        <v>46227.5833333333</v>
      </c>
      <c r="P175" s="16">
        <v>46227.8120833333</v>
      </c>
      <c r="Q175" s="16">
        <v>46227.8329166667</v>
      </c>
      <c r="R175" s="16">
        <v>46227.8433333333</v>
      </c>
      <c r="S175" s="16">
        <v>46227.86</v>
      </c>
      <c r="T175" s="16">
        <v>46227.885</v>
      </c>
      <c r="U175" s="11">
        <v>4.5</v>
      </c>
      <c r="V175" s="11">
        <v>5.49</v>
      </c>
      <c r="W175" s="11">
        <v>3.5</v>
      </c>
      <c r="X175" s="11">
        <v>1.99</v>
      </c>
      <c r="Y175" s="11">
        <v>8</v>
      </c>
      <c r="Z175" s="12">
        <v>0.6863</v>
      </c>
      <c r="AA175" t="s">
        <v>55</v>
      </c>
      <c r="AB175" t="s">
        <v>56</v>
      </c>
      <c r="AC175" t="s">
        <v>57</v>
      </c>
      <c r="AD175" t="str">
        <f t="shared" si="2"/>
        <v>CONFLICTO</v>
      </c>
    </row>
    <row r="176" spans="1:30">
      <c r="A176" t="s">
        <v>612</v>
      </c>
      <c r="B176" s="15">
        <v>46218</v>
      </c>
      <c r="C176" t="s">
        <v>68</v>
      </c>
      <c r="D176">
        <v>29</v>
      </c>
      <c r="E176" t="s">
        <v>613</v>
      </c>
      <c r="F176" t="s">
        <v>614</v>
      </c>
      <c r="G176" t="s">
        <v>48</v>
      </c>
      <c r="H176" t="s">
        <v>49</v>
      </c>
      <c r="I176" t="s">
        <v>122</v>
      </c>
      <c r="J176" t="s">
        <v>85</v>
      </c>
      <c r="K176" t="s">
        <v>105</v>
      </c>
      <c r="L176" t="s">
        <v>64</v>
      </c>
      <c r="M176" t="s">
        <v>79</v>
      </c>
      <c r="N176" s="16">
        <v>46218.6291666667</v>
      </c>
      <c r="O176" s="16">
        <v>46218.6458333333</v>
      </c>
      <c r="P176" s="16">
        <v>46218.8441666667</v>
      </c>
      <c r="Q176" s="16">
        <v>46218.865</v>
      </c>
      <c r="R176" s="16">
        <v>46218.8754166667</v>
      </c>
      <c r="S176" s="16">
        <v>46218.8920833333</v>
      </c>
      <c r="T176" s="16">
        <v>46218.9170833333</v>
      </c>
      <c r="U176" s="11">
        <v>3.9</v>
      </c>
      <c r="V176" s="11">
        <v>4.76</v>
      </c>
      <c r="W176" s="11">
        <v>2</v>
      </c>
      <c r="X176" s="11">
        <v>2.76</v>
      </c>
      <c r="Y176" s="11">
        <v>8</v>
      </c>
      <c r="Z176" s="12">
        <v>0.595</v>
      </c>
      <c r="AA176" t="s">
        <v>66</v>
      </c>
      <c r="AB176" t="s">
        <v>56</v>
      </c>
      <c r="AC176" t="s">
        <v>57</v>
      </c>
      <c r="AD176" t="str">
        <f t="shared" si="2"/>
        <v>OK</v>
      </c>
    </row>
    <row r="177" spans="1:30">
      <c r="A177" t="s">
        <v>615</v>
      </c>
      <c r="B177" s="15">
        <v>46230</v>
      </c>
      <c r="C177" t="s">
        <v>45</v>
      </c>
      <c r="D177">
        <v>31</v>
      </c>
      <c r="E177" t="s">
        <v>616</v>
      </c>
      <c r="F177" t="s">
        <v>617</v>
      </c>
      <c r="G177" t="s">
        <v>48</v>
      </c>
      <c r="H177" t="s">
        <v>173</v>
      </c>
      <c r="I177" t="s">
        <v>72</v>
      </c>
      <c r="J177" t="s">
        <v>85</v>
      </c>
      <c r="K177" t="s">
        <v>52</v>
      </c>
      <c r="L177" t="s">
        <v>53</v>
      </c>
      <c r="M177" t="s">
        <v>86</v>
      </c>
      <c r="N177" s="16">
        <v>46230.3166666667</v>
      </c>
      <c r="O177" s="16">
        <v>46230.3333333333</v>
      </c>
      <c r="P177" s="16">
        <v>46230.36125</v>
      </c>
      <c r="Q177" s="16">
        <v>46230.3820833333</v>
      </c>
      <c r="R177" s="16">
        <v>46230.3925</v>
      </c>
      <c r="S177" s="16">
        <v>46230.4091666667</v>
      </c>
      <c r="T177" s="16">
        <v>46230.4341666667</v>
      </c>
      <c r="U177" s="11">
        <v>0.55</v>
      </c>
      <c r="V177" s="11">
        <v>0.67</v>
      </c>
      <c r="W177" s="11">
        <v>0.67</v>
      </c>
      <c r="X177" s="11">
        <v>0</v>
      </c>
      <c r="Y177" s="11">
        <v>8</v>
      </c>
      <c r="Z177" s="12">
        <v>0.0838</v>
      </c>
      <c r="AA177" t="s">
        <v>66</v>
      </c>
      <c r="AB177" t="s">
        <v>56</v>
      </c>
      <c r="AC177" t="s">
        <v>57</v>
      </c>
      <c r="AD177" t="str">
        <f t="shared" si="2"/>
        <v>CONFLICTO</v>
      </c>
    </row>
    <row r="178" spans="1:30">
      <c r="A178" t="s">
        <v>618</v>
      </c>
      <c r="B178" s="15">
        <v>46217</v>
      </c>
      <c r="C178" t="s">
        <v>88</v>
      </c>
      <c r="D178">
        <v>29</v>
      </c>
      <c r="E178" t="s">
        <v>619</v>
      </c>
      <c r="F178" t="s">
        <v>620</v>
      </c>
      <c r="G178" t="s">
        <v>48</v>
      </c>
      <c r="H178" t="s">
        <v>71</v>
      </c>
      <c r="I178" t="s">
        <v>329</v>
      </c>
      <c r="J178" t="s">
        <v>51</v>
      </c>
      <c r="K178" t="s">
        <v>105</v>
      </c>
      <c r="L178" t="s">
        <v>64</v>
      </c>
      <c r="M178" t="s">
        <v>91</v>
      </c>
      <c r="N178" s="16">
        <v>46217.4</v>
      </c>
      <c r="O178" s="16">
        <v>46217.4166666667</v>
      </c>
      <c r="P178" s="16">
        <v>46217.6258333333</v>
      </c>
      <c r="Q178" s="16">
        <v>46217.6466666667</v>
      </c>
      <c r="R178" s="16">
        <v>46217.6570833333</v>
      </c>
      <c r="S178" s="16">
        <v>46217.67375</v>
      </c>
      <c r="T178" s="16">
        <v>46217.69875</v>
      </c>
      <c r="U178" s="11">
        <v>3.3</v>
      </c>
      <c r="V178" s="11">
        <v>4.02</v>
      </c>
      <c r="W178" s="11">
        <v>4.02</v>
      </c>
      <c r="X178" s="11">
        <v>0</v>
      </c>
      <c r="Y178" s="11">
        <v>8</v>
      </c>
      <c r="Z178" s="12">
        <v>0.5025</v>
      </c>
      <c r="AA178" t="s">
        <v>66</v>
      </c>
      <c r="AB178" t="s">
        <v>56</v>
      </c>
      <c r="AC178" t="s">
        <v>57</v>
      </c>
      <c r="AD178" t="str">
        <f t="shared" si="2"/>
        <v>CONFLICTO</v>
      </c>
    </row>
    <row r="179" spans="1:30">
      <c r="A179" t="s">
        <v>621</v>
      </c>
      <c r="B179" s="15">
        <v>46226</v>
      </c>
      <c r="C179" t="s">
        <v>107</v>
      </c>
      <c r="D179">
        <v>30</v>
      </c>
      <c r="E179" t="s">
        <v>622</v>
      </c>
      <c r="F179" t="s">
        <v>623</v>
      </c>
      <c r="G179" t="s">
        <v>48</v>
      </c>
      <c r="H179" t="s">
        <v>154</v>
      </c>
      <c r="I179" t="s">
        <v>329</v>
      </c>
      <c r="J179" t="s">
        <v>117</v>
      </c>
      <c r="K179" t="s">
        <v>78</v>
      </c>
      <c r="L179" t="s">
        <v>53</v>
      </c>
      <c r="M179" t="s">
        <v>54</v>
      </c>
      <c r="N179" s="16">
        <v>46226.5666666667</v>
      </c>
      <c r="O179" s="16">
        <v>46226.5833333333</v>
      </c>
      <c r="P179" s="16">
        <v>46226.7508333333</v>
      </c>
      <c r="Q179" s="16">
        <v>46226.7716666667</v>
      </c>
      <c r="R179" s="16">
        <v>46226.7820833333</v>
      </c>
      <c r="S179" s="16">
        <v>46226.79875</v>
      </c>
      <c r="T179" s="16">
        <v>46226.82375</v>
      </c>
      <c r="U179" s="11">
        <v>3.3</v>
      </c>
      <c r="V179" s="11">
        <v>4.02</v>
      </c>
      <c r="W179" s="11">
        <v>3.5</v>
      </c>
      <c r="X179" s="11">
        <v>0.52</v>
      </c>
      <c r="Y179" s="11">
        <v>8</v>
      </c>
      <c r="Z179" s="12">
        <v>0.5025</v>
      </c>
      <c r="AA179" t="s">
        <v>66</v>
      </c>
      <c r="AB179" t="s">
        <v>56</v>
      </c>
      <c r="AC179" t="s">
        <v>57</v>
      </c>
      <c r="AD179" t="str">
        <f t="shared" si="2"/>
        <v>CONFLICTO</v>
      </c>
    </row>
    <row r="180" spans="1:30">
      <c r="A180" t="s">
        <v>624</v>
      </c>
      <c r="B180" s="15">
        <v>46216</v>
      </c>
      <c r="C180" t="s">
        <v>45</v>
      </c>
      <c r="D180">
        <v>29</v>
      </c>
      <c r="E180" t="s">
        <v>625</v>
      </c>
      <c r="F180" t="s">
        <v>626</v>
      </c>
      <c r="G180" t="s">
        <v>48</v>
      </c>
      <c r="H180" t="s">
        <v>61</v>
      </c>
      <c r="I180" t="s">
        <v>72</v>
      </c>
      <c r="J180" t="s">
        <v>63</v>
      </c>
      <c r="K180" t="s">
        <v>165</v>
      </c>
      <c r="L180" t="s">
        <v>64</v>
      </c>
      <c r="M180" t="s">
        <v>65</v>
      </c>
      <c r="N180" s="16">
        <v>46216.6291666667</v>
      </c>
      <c r="O180" s="16">
        <v>46216.6458333333</v>
      </c>
      <c r="P180" s="16">
        <v>46216.67375</v>
      </c>
      <c r="Q180" s="16">
        <v>46216.6945833333</v>
      </c>
      <c r="R180" s="16">
        <v>46216.705</v>
      </c>
      <c r="S180" s="16">
        <v>46216.7216666667</v>
      </c>
      <c r="T180" s="16">
        <v>46216.7466666667</v>
      </c>
      <c r="U180" s="11">
        <v>0.55</v>
      </c>
      <c r="V180" s="11">
        <v>0.67</v>
      </c>
      <c r="W180" s="11">
        <v>0.67</v>
      </c>
      <c r="X180" s="11">
        <v>0</v>
      </c>
      <c r="Y180" s="11">
        <v>8</v>
      </c>
      <c r="Z180" s="12">
        <v>0.0838</v>
      </c>
      <c r="AA180" t="s">
        <v>66</v>
      </c>
      <c r="AB180" t="s">
        <v>56</v>
      </c>
      <c r="AC180" t="s">
        <v>57</v>
      </c>
      <c r="AD180" t="str">
        <f t="shared" si="2"/>
        <v>CONFLICTO</v>
      </c>
    </row>
    <row r="181" spans="1:30">
      <c r="A181" t="s">
        <v>627</v>
      </c>
      <c r="B181" s="15">
        <v>46217</v>
      </c>
      <c r="C181" t="s">
        <v>88</v>
      </c>
      <c r="D181">
        <v>29</v>
      </c>
      <c r="E181" t="s">
        <v>628</v>
      </c>
      <c r="F181" t="s">
        <v>629</v>
      </c>
      <c r="G181" t="s">
        <v>48</v>
      </c>
      <c r="H181" t="s">
        <v>83</v>
      </c>
      <c r="I181" t="s">
        <v>158</v>
      </c>
      <c r="J181" t="s">
        <v>85</v>
      </c>
      <c r="K181" t="s">
        <v>165</v>
      </c>
      <c r="L181" t="s">
        <v>53</v>
      </c>
      <c r="M181" t="s">
        <v>73</v>
      </c>
      <c r="N181" s="16">
        <v>46217.3166666667</v>
      </c>
      <c r="O181" s="16">
        <v>46217.3333333333</v>
      </c>
      <c r="P181" s="16">
        <v>46217.3766666667</v>
      </c>
      <c r="Q181" s="16">
        <v>46217.3975</v>
      </c>
      <c r="R181" s="16">
        <v>46217.4079166667</v>
      </c>
      <c r="S181" s="16">
        <v>46217.4245833333</v>
      </c>
      <c r="T181" s="16">
        <v>46217.4495833333</v>
      </c>
      <c r="U181" s="11">
        <v>0.85</v>
      </c>
      <c r="V181" s="11">
        <v>1.04</v>
      </c>
      <c r="W181" s="11">
        <v>1.04</v>
      </c>
      <c r="X181" s="11">
        <v>0</v>
      </c>
      <c r="Y181" s="11">
        <v>8</v>
      </c>
      <c r="Z181" s="12">
        <v>0.13</v>
      </c>
      <c r="AA181" t="s">
        <v>66</v>
      </c>
      <c r="AB181" t="s">
        <v>56</v>
      </c>
      <c r="AC181" t="s">
        <v>57</v>
      </c>
      <c r="AD181" t="str">
        <f t="shared" si="2"/>
        <v>OK</v>
      </c>
    </row>
    <row r="182" spans="1:30">
      <c r="A182" t="s">
        <v>630</v>
      </c>
      <c r="B182" s="15">
        <v>46226</v>
      </c>
      <c r="C182" t="s">
        <v>107</v>
      </c>
      <c r="D182">
        <v>30</v>
      </c>
      <c r="E182" t="s">
        <v>631</v>
      </c>
      <c r="F182" t="s">
        <v>632</v>
      </c>
      <c r="G182" t="s">
        <v>48</v>
      </c>
      <c r="H182" t="s">
        <v>71</v>
      </c>
      <c r="I182" t="s">
        <v>62</v>
      </c>
      <c r="J182" t="s">
        <v>117</v>
      </c>
      <c r="K182" t="s">
        <v>52</v>
      </c>
      <c r="L182" t="s">
        <v>64</v>
      </c>
      <c r="M182" t="s">
        <v>79</v>
      </c>
      <c r="N182" s="16">
        <v>46226.4</v>
      </c>
      <c r="O182" s="16">
        <v>46226.4166666667</v>
      </c>
      <c r="P182" s="16">
        <v>46226.4495833333</v>
      </c>
      <c r="Q182" s="16">
        <v>46226.4704166667</v>
      </c>
      <c r="R182" s="16">
        <v>46226.4808333333</v>
      </c>
      <c r="S182" s="16">
        <v>46226.4975</v>
      </c>
      <c r="T182" s="16">
        <v>46226.5225</v>
      </c>
      <c r="U182" s="11">
        <v>0.65</v>
      </c>
      <c r="V182" s="11">
        <v>0.79</v>
      </c>
      <c r="W182" s="11">
        <v>0.79</v>
      </c>
      <c r="X182" s="11">
        <v>0</v>
      </c>
      <c r="Y182" s="11">
        <v>8</v>
      </c>
      <c r="Z182" s="12">
        <v>0.0988</v>
      </c>
      <c r="AA182" t="s">
        <v>66</v>
      </c>
      <c r="AB182" t="s">
        <v>56</v>
      </c>
      <c r="AC182" t="s">
        <v>57</v>
      </c>
      <c r="AD182" t="str">
        <f t="shared" si="2"/>
        <v>OK</v>
      </c>
    </row>
    <row r="183" spans="1:30">
      <c r="A183" t="s">
        <v>633</v>
      </c>
      <c r="B183" s="15">
        <v>46217</v>
      </c>
      <c r="C183" t="s">
        <v>88</v>
      </c>
      <c r="D183">
        <v>29</v>
      </c>
      <c r="E183" t="s">
        <v>634</v>
      </c>
      <c r="F183" t="s">
        <v>635</v>
      </c>
      <c r="G183" t="s">
        <v>48</v>
      </c>
      <c r="H183" t="s">
        <v>116</v>
      </c>
      <c r="I183" t="s">
        <v>62</v>
      </c>
      <c r="J183" t="s">
        <v>63</v>
      </c>
      <c r="K183" t="s">
        <v>52</v>
      </c>
      <c r="L183" t="s">
        <v>53</v>
      </c>
      <c r="M183" t="s">
        <v>86</v>
      </c>
      <c r="N183" s="16">
        <v>46217.5666666667</v>
      </c>
      <c r="O183" s="16">
        <v>46217.5833333333</v>
      </c>
      <c r="P183" s="16">
        <v>46217.61625</v>
      </c>
      <c r="Q183" s="16">
        <v>46217.6370833333</v>
      </c>
      <c r="R183" s="16">
        <v>46217.6475</v>
      </c>
      <c r="S183" s="16">
        <v>46217.6641666667</v>
      </c>
      <c r="T183" s="16">
        <v>46217.6891666667</v>
      </c>
      <c r="U183" s="11">
        <v>0.65</v>
      </c>
      <c r="V183" s="11">
        <v>0.79</v>
      </c>
      <c r="W183" s="11">
        <v>0.79</v>
      </c>
      <c r="X183" s="11">
        <v>0</v>
      </c>
      <c r="Y183" s="11">
        <v>8</v>
      </c>
      <c r="Z183" s="12">
        <v>0.0988</v>
      </c>
      <c r="AA183" t="s">
        <v>66</v>
      </c>
      <c r="AB183" t="s">
        <v>56</v>
      </c>
      <c r="AC183" t="s">
        <v>57</v>
      </c>
      <c r="AD183" t="str">
        <f t="shared" si="2"/>
        <v>CONFLICTO</v>
      </c>
    </row>
    <row r="184" spans="1:30">
      <c r="A184" t="s">
        <v>636</v>
      </c>
      <c r="B184" s="15">
        <v>46217</v>
      </c>
      <c r="C184" t="s">
        <v>88</v>
      </c>
      <c r="D184">
        <v>29</v>
      </c>
      <c r="E184" t="s">
        <v>637</v>
      </c>
      <c r="F184" t="s">
        <v>638</v>
      </c>
      <c r="G184" t="s">
        <v>48</v>
      </c>
      <c r="H184" t="s">
        <v>116</v>
      </c>
      <c r="I184" t="s">
        <v>62</v>
      </c>
      <c r="J184" t="s">
        <v>85</v>
      </c>
      <c r="K184" t="s">
        <v>52</v>
      </c>
      <c r="L184" t="s">
        <v>64</v>
      </c>
      <c r="M184" t="s">
        <v>91</v>
      </c>
      <c r="N184" s="16">
        <v>46217.6291666667</v>
      </c>
      <c r="O184" s="16">
        <v>46217.6458333333</v>
      </c>
      <c r="P184" s="16">
        <v>46217.67875</v>
      </c>
      <c r="Q184" s="16">
        <v>46217.6995833333</v>
      </c>
      <c r="R184" s="16">
        <v>46217.71</v>
      </c>
      <c r="S184" s="16">
        <v>46217.7266666667</v>
      </c>
      <c r="T184" s="16">
        <v>46217.7516666667</v>
      </c>
      <c r="U184" s="11">
        <v>0.65</v>
      </c>
      <c r="V184" s="11">
        <v>0.79</v>
      </c>
      <c r="W184" s="11">
        <v>0.79</v>
      </c>
      <c r="X184" s="11">
        <v>0</v>
      </c>
      <c r="Y184" s="11">
        <v>8</v>
      </c>
      <c r="Z184" s="12">
        <v>0.0988</v>
      </c>
      <c r="AA184" t="s">
        <v>66</v>
      </c>
      <c r="AB184" t="s">
        <v>56</v>
      </c>
      <c r="AC184" t="s">
        <v>57</v>
      </c>
      <c r="AD184" t="str">
        <f t="shared" si="2"/>
        <v>CONFLICTO</v>
      </c>
    </row>
    <row r="185" spans="1:30">
      <c r="A185" t="s">
        <v>639</v>
      </c>
      <c r="B185" s="15">
        <v>46217</v>
      </c>
      <c r="C185" t="s">
        <v>88</v>
      </c>
      <c r="D185">
        <v>29</v>
      </c>
      <c r="E185" t="s">
        <v>640</v>
      </c>
      <c r="F185" t="s">
        <v>641</v>
      </c>
      <c r="G185" t="s">
        <v>48</v>
      </c>
      <c r="H185" t="s">
        <v>96</v>
      </c>
      <c r="I185" t="s">
        <v>194</v>
      </c>
      <c r="J185" t="s">
        <v>51</v>
      </c>
      <c r="K185" t="s">
        <v>78</v>
      </c>
      <c r="L185" t="s">
        <v>53</v>
      </c>
      <c r="M185" t="s">
        <v>54</v>
      </c>
      <c r="N185" s="16">
        <v>46217.3166666667</v>
      </c>
      <c r="O185" s="16">
        <v>46217.3333333333</v>
      </c>
      <c r="P185" s="16">
        <v>46217.3891666667</v>
      </c>
      <c r="Q185" s="16">
        <v>46217.41</v>
      </c>
      <c r="R185" s="16">
        <v>46217.4204166667</v>
      </c>
      <c r="S185" s="16">
        <v>46217.4370833333</v>
      </c>
      <c r="T185" s="16">
        <v>46217.4620833333</v>
      </c>
      <c r="U185" s="11">
        <v>1.1</v>
      </c>
      <c r="V185" s="11">
        <v>1.34</v>
      </c>
      <c r="W185" s="11">
        <v>1.34</v>
      </c>
      <c r="X185" s="11">
        <v>0</v>
      </c>
      <c r="Y185" s="11">
        <v>8</v>
      </c>
      <c r="Z185" s="12">
        <v>0.1675</v>
      </c>
      <c r="AA185" t="s">
        <v>66</v>
      </c>
      <c r="AB185" t="s">
        <v>56</v>
      </c>
      <c r="AC185" t="s">
        <v>57</v>
      </c>
      <c r="AD185" t="str">
        <f t="shared" si="2"/>
        <v>OK</v>
      </c>
    </row>
    <row r="186" spans="1:30">
      <c r="A186" t="s">
        <v>642</v>
      </c>
      <c r="B186" s="15">
        <v>46216</v>
      </c>
      <c r="C186" t="s">
        <v>45</v>
      </c>
      <c r="D186">
        <v>29</v>
      </c>
      <c r="E186" t="s">
        <v>643</v>
      </c>
      <c r="F186" t="s">
        <v>644</v>
      </c>
      <c r="G186" t="s">
        <v>48</v>
      </c>
      <c r="H186" t="s">
        <v>216</v>
      </c>
      <c r="I186" t="s">
        <v>62</v>
      </c>
      <c r="J186" t="s">
        <v>85</v>
      </c>
      <c r="K186" t="s">
        <v>78</v>
      </c>
      <c r="L186" t="s">
        <v>64</v>
      </c>
      <c r="M186" t="s">
        <v>65</v>
      </c>
      <c r="N186" s="16">
        <v>46216.4</v>
      </c>
      <c r="O186" s="16">
        <v>46216.4166666667</v>
      </c>
      <c r="P186" s="16">
        <v>46216.4495833333</v>
      </c>
      <c r="Q186" s="16">
        <v>46216.4704166667</v>
      </c>
      <c r="R186" s="16">
        <v>46216.4808333333</v>
      </c>
      <c r="S186" s="16">
        <v>46216.4975</v>
      </c>
      <c r="T186" s="16">
        <v>46216.5225</v>
      </c>
      <c r="U186" s="11">
        <v>0.65</v>
      </c>
      <c r="V186" s="11">
        <v>0.79</v>
      </c>
      <c r="W186" s="11">
        <v>0.79</v>
      </c>
      <c r="X186" s="11">
        <v>0</v>
      </c>
      <c r="Y186" s="11">
        <v>8</v>
      </c>
      <c r="Z186" s="12">
        <v>0.0988</v>
      </c>
      <c r="AA186" t="s">
        <v>66</v>
      </c>
      <c r="AB186" t="s">
        <v>56</v>
      </c>
      <c r="AC186" t="s">
        <v>57</v>
      </c>
      <c r="AD186" t="str">
        <f t="shared" si="2"/>
        <v>OK</v>
      </c>
    </row>
    <row r="187" spans="1:30">
      <c r="A187" t="s">
        <v>645</v>
      </c>
      <c r="B187" s="15">
        <v>46219</v>
      </c>
      <c r="C187" t="s">
        <v>107</v>
      </c>
      <c r="D187">
        <v>29</v>
      </c>
      <c r="E187" t="s">
        <v>646</v>
      </c>
      <c r="F187" t="s">
        <v>647</v>
      </c>
      <c r="G187" t="s">
        <v>48</v>
      </c>
      <c r="H187" t="s">
        <v>116</v>
      </c>
      <c r="I187" t="s">
        <v>101</v>
      </c>
      <c r="J187" t="s">
        <v>63</v>
      </c>
      <c r="K187" t="s">
        <v>141</v>
      </c>
      <c r="L187" t="s">
        <v>53</v>
      </c>
      <c r="M187" t="s">
        <v>73</v>
      </c>
      <c r="N187" s="16">
        <v>46219.5666666667</v>
      </c>
      <c r="O187" s="16">
        <v>46219.5833333333</v>
      </c>
      <c r="P187" s="16">
        <v>46219.61875</v>
      </c>
      <c r="Q187" s="16">
        <v>46219.6395833333</v>
      </c>
      <c r="R187" s="16">
        <v>46219.65</v>
      </c>
      <c r="S187" s="16">
        <v>46219.6666666667</v>
      </c>
      <c r="T187" s="16">
        <v>46219.6916666667</v>
      </c>
      <c r="U187" s="11">
        <v>0.7</v>
      </c>
      <c r="V187" s="11">
        <v>0.85</v>
      </c>
      <c r="W187" s="11">
        <v>0.85</v>
      </c>
      <c r="X187" s="11">
        <v>0</v>
      </c>
      <c r="Y187" s="11">
        <v>8</v>
      </c>
      <c r="Z187" s="12">
        <v>0.1062</v>
      </c>
      <c r="AA187" t="s">
        <v>66</v>
      </c>
      <c r="AB187" t="s">
        <v>56</v>
      </c>
      <c r="AC187" t="s">
        <v>57</v>
      </c>
      <c r="AD187" t="str">
        <f t="shared" si="2"/>
        <v>CONFLICTO</v>
      </c>
    </row>
    <row r="188" spans="1:30">
      <c r="A188" t="s">
        <v>648</v>
      </c>
      <c r="B188" s="15">
        <v>46230</v>
      </c>
      <c r="C188" t="s">
        <v>45</v>
      </c>
      <c r="D188">
        <v>31</v>
      </c>
      <c r="E188" t="s">
        <v>649</v>
      </c>
      <c r="F188" t="s">
        <v>650</v>
      </c>
      <c r="G188" t="s">
        <v>48</v>
      </c>
      <c r="H188" t="s">
        <v>49</v>
      </c>
      <c r="I188" t="s">
        <v>77</v>
      </c>
      <c r="J188" t="s">
        <v>117</v>
      </c>
      <c r="K188" t="s">
        <v>141</v>
      </c>
      <c r="L188" t="s">
        <v>64</v>
      </c>
      <c r="M188" t="s">
        <v>79</v>
      </c>
      <c r="N188" s="16">
        <v>46230.6291666667</v>
      </c>
      <c r="O188" s="16">
        <v>46230.6458333333</v>
      </c>
      <c r="P188" s="16">
        <v>46230.6891666667</v>
      </c>
      <c r="Q188" s="16">
        <v>46230.71</v>
      </c>
      <c r="R188" s="16">
        <v>46230.7204166667</v>
      </c>
      <c r="S188" s="16">
        <v>46230.7370833333</v>
      </c>
      <c r="T188" s="16">
        <v>46230.7620833333</v>
      </c>
      <c r="U188" s="11">
        <v>0.85</v>
      </c>
      <c r="V188" s="11">
        <v>1.04</v>
      </c>
      <c r="W188" s="11">
        <v>1.04</v>
      </c>
      <c r="X188" s="11">
        <v>0</v>
      </c>
      <c r="Y188" s="11">
        <v>8</v>
      </c>
      <c r="Z188" s="12">
        <v>0.13</v>
      </c>
      <c r="AA188" t="s">
        <v>66</v>
      </c>
      <c r="AB188" t="s">
        <v>56</v>
      </c>
      <c r="AC188" t="s">
        <v>57</v>
      </c>
      <c r="AD188" t="str">
        <f t="shared" si="2"/>
        <v>CONFLICTO</v>
      </c>
    </row>
    <row r="189" spans="1:30">
      <c r="A189" t="s">
        <v>651</v>
      </c>
      <c r="B189" s="15">
        <v>46219</v>
      </c>
      <c r="C189" t="s">
        <v>107</v>
      </c>
      <c r="D189">
        <v>29</v>
      </c>
      <c r="E189" t="s">
        <v>652</v>
      </c>
      <c r="F189" t="s">
        <v>653</v>
      </c>
      <c r="G189" t="s">
        <v>48</v>
      </c>
      <c r="H189" t="s">
        <v>61</v>
      </c>
      <c r="I189" t="s">
        <v>184</v>
      </c>
      <c r="J189" t="s">
        <v>63</v>
      </c>
      <c r="K189" t="s">
        <v>105</v>
      </c>
      <c r="L189" t="s">
        <v>53</v>
      </c>
      <c r="M189" t="s">
        <v>86</v>
      </c>
      <c r="N189" s="16">
        <v>46219.3166666667</v>
      </c>
      <c r="O189" s="16">
        <v>46219.3333333333</v>
      </c>
      <c r="P189" s="16">
        <v>46219.5416666667</v>
      </c>
      <c r="Q189" s="16">
        <v>46219.5625</v>
      </c>
      <c r="R189" s="16">
        <v>46219.5729166667</v>
      </c>
      <c r="S189" s="16">
        <v>46219.5895833333</v>
      </c>
      <c r="T189" s="16">
        <v>46219.6145833333</v>
      </c>
      <c r="U189" s="11">
        <v>4.1</v>
      </c>
      <c r="V189" s="11">
        <v>5</v>
      </c>
      <c r="W189" s="11">
        <v>5</v>
      </c>
      <c r="X189" s="11">
        <v>0</v>
      </c>
      <c r="Y189" s="11">
        <v>8</v>
      </c>
      <c r="Z189" s="12">
        <v>0.625</v>
      </c>
      <c r="AA189" t="s">
        <v>55</v>
      </c>
      <c r="AB189" t="s">
        <v>56</v>
      </c>
      <c r="AC189" t="s">
        <v>57</v>
      </c>
      <c r="AD189" t="str">
        <f t="shared" si="2"/>
        <v>CONFLICTO</v>
      </c>
    </row>
    <row r="190" spans="1:30">
      <c r="A190" t="s">
        <v>654</v>
      </c>
      <c r="B190" s="15">
        <v>46225</v>
      </c>
      <c r="C190" t="s">
        <v>68</v>
      </c>
      <c r="D190">
        <v>30</v>
      </c>
      <c r="E190" t="s">
        <v>655</v>
      </c>
      <c r="F190" t="s">
        <v>656</v>
      </c>
      <c r="G190" t="s">
        <v>48</v>
      </c>
      <c r="H190" t="s">
        <v>100</v>
      </c>
      <c r="I190" t="s">
        <v>194</v>
      </c>
      <c r="J190" t="s">
        <v>63</v>
      </c>
      <c r="K190" t="s">
        <v>165</v>
      </c>
      <c r="L190" t="s">
        <v>64</v>
      </c>
      <c r="M190" t="s">
        <v>91</v>
      </c>
      <c r="N190" s="16">
        <v>46225.4</v>
      </c>
      <c r="O190" s="16">
        <v>46225.4166666667</v>
      </c>
      <c r="P190" s="16">
        <v>46225.4725</v>
      </c>
      <c r="Q190" s="16">
        <v>46225.4933333333</v>
      </c>
      <c r="R190" s="16">
        <v>46225.50375</v>
      </c>
      <c r="S190" s="16">
        <v>46225.5204166667</v>
      </c>
      <c r="T190" s="16">
        <v>46225.5454166667</v>
      </c>
      <c r="U190" s="11">
        <v>1.1</v>
      </c>
      <c r="V190" s="11">
        <v>1.34</v>
      </c>
      <c r="W190" s="11">
        <v>1.34</v>
      </c>
      <c r="X190" s="11">
        <v>0</v>
      </c>
      <c r="Y190" s="11">
        <v>8</v>
      </c>
      <c r="Z190" s="12">
        <v>0.1675</v>
      </c>
      <c r="AA190" t="s">
        <v>66</v>
      </c>
      <c r="AB190" t="s">
        <v>56</v>
      </c>
      <c r="AC190" t="s">
        <v>57</v>
      </c>
      <c r="AD190" t="str">
        <f t="shared" si="2"/>
        <v>CONFLICTO</v>
      </c>
    </row>
    <row r="191" spans="1:30">
      <c r="A191" t="s">
        <v>657</v>
      </c>
      <c r="B191" s="15">
        <v>46216</v>
      </c>
      <c r="C191" t="s">
        <v>45</v>
      </c>
      <c r="D191">
        <v>29</v>
      </c>
      <c r="E191" t="s">
        <v>658</v>
      </c>
      <c r="F191" t="s">
        <v>659</v>
      </c>
      <c r="G191" t="s">
        <v>48</v>
      </c>
      <c r="H191" t="s">
        <v>281</v>
      </c>
      <c r="I191" t="s">
        <v>329</v>
      </c>
      <c r="J191" t="s">
        <v>63</v>
      </c>
      <c r="K191" t="s">
        <v>52</v>
      </c>
      <c r="L191" t="s">
        <v>53</v>
      </c>
      <c r="M191" t="s">
        <v>54</v>
      </c>
      <c r="N191" s="16">
        <v>46216.5666666667</v>
      </c>
      <c r="O191" s="16">
        <v>46216.5833333333</v>
      </c>
      <c r="P191" s="16">
        <v>46216.7508333333</v>
      </c>
      <c r="Q191" s="16">
        <v>46216.7716666667</v>
      </c>
      <c r="R191" s="16">
        <v>46216.7820833333</v>
      </c>
      <c r="S191" s="16">
        <v>46216.79875</v>
      </c>
      <c r="T191" s="16">
        <v>46216.82375</v>
      </c>
      <c r="U191" s="11">
        <v>3.3</v>
      </c>
      <c r="V191" s="11">
        <v>4.02</v>
      </c>
      <c r="W191" s="11">
        <v>3.5</v>
      </c>
      <c r="X191" s="11">
        <v>0.52</v>
      </c>
      <c r="Y191" s="11">
        <v>8</v>
      </c>
      <c r="Z191" s="12">
        <v>0.5025</v>
      </c>
      <c r="AA191" t="s">
        <v>66</v>
      </c>
      <c r="AB191" t="s">
        <v>56</v>
      </c>
      <c r="AC191" t="s">
        <v>57</v>
      </c>
      <c r="AD191" t="str">
        <f t="shared" si="2"/>
        <v>CONFLICTO</v>
      </c>
    </row>
    <row r="192" spans="1:30">
      <c r="A192" t="s">
        <v>660</v>
      </c>
      <c r="B192" s="15">
        <v>46223</v>
      </c>
      <c r="C192" t="s">
        <v>45</v>
      </c>
      <c r="D192">
        <v>30</v>
      </c>
      <c r="E192" t="s">
        <v>661</v>
      </c>
      <c r="F192" t="s">
        <v>662</v>
      </c>
      <c r="G192" t="s">
        <v>48</v>
      </c>
      <c r="H192" t="s">
        <v>173</v>
      </c>
      <c r="I192" t="s">
        <v>72</v>
      </c>
      <c r="J192" t="s">
        <v>63</v>
      </c>
      <c r="K192" t="s">
        <v>165</v>
      </c>
      <c r="L192" t="s">
        <v>64</v>
      </c>
      <c r="M192" t="s">
        <v>65</v>
      </c>
      <c r="N192" s="16">
        <v>46223.6291666667</v>
      </c>
      <c r="O192" s="16">
        <v>46223.6458333333</v>
      </c>
      <c r="P192" s="16">
        <v>46223.67375</v>
      </c>
      <c r="Q192" s="16">
        <v>46223.6945833333</v>
      </c>
      <c r="R192" s="16">
        <v>46223.705</v>
      </c>
      <c r="S192" s="16">
        <v>46223.7216666667</v>
      </c>
      <c r="T192" s="16">
        <v>46223.7466666667</v>
      </c>
      <c r="U192" s="11">
        <v>0.55</v>
      </c>
      <c r="V192" s="11">
        <v>0.67</v>
      </c>
      <c r="W192" s="11">
        <v>0.67</v>
      </c>
      <c r="X192" s="11">
        <v>0</v>
      </c>
      <c r="Y192" s="11">
        <v>8</v>
      </c>
      <c r="Z192" s="12">
        <v>0.0838</v>
      </c>
      <c r="AA192" t="s">
        <v>66</v>
      </c>
      <c r="AB192" t="s">
        <v>56</v>
      </c>
      <c r="AC192" t="s">
        <v>57</v>
      </c>
      <c r="AD192" t="str">
        <f t="shared" si="2"/>
        <v>CONFLICTO</v>
      </c>
    </row>
    <row r="193" spans="1:30">
      <c r="A193" t="s">
        <v>663</v>
      </c>
      <c r="B193" s="15">
        <v>46224</v>
      </c>
      <c r="C193" t="s">
        <v>88</v>
      </c>
      <c r="D193">
        <v>30</v>
      </c>
      <c r="E193" t="s">
        <v>664</v>
      </c>
      <c r="F193" t="s">
        <v>665</v>
      </c>
      <c r="G193" t="s">
        <v>48</v>
      </c>
      <c r="H193" t="s">
        <v>154</v>
      </c>
      <c r="I193" t="s">
        <v>177</v>
      </c>
      <c r="J193" t="s">
        <v>117</v>
      </c>
      <c r="K193" t="s">
        <v>165</v>
      </c>
      <c r="L193" t="s">
        <v>53</v>
      </c>
      <c r="M193" t="s">
        <v>73</v>
      </c>
      <c r="N193" s="16">
        <v>46224.3166666667</v>
      </c>
      <c r="O193" s="16">
        <v>46224.3333333333</v>
      </c>
      <c r="P193" s="16">
        <v>46224.36875</v>
      </c>
      <c r="Q193" s="16">
        <v>46224.3895833333</v>
      </c>
      <c r="R193" s="16">
        <v>46224.4</v>
      </c>
      <c r="S193" s="16">
        <v>46224.4166666667</v>
      </c>
      <c r="T193" s="16">
        <v>46224.4416666667</v>
      </c>
      <c r="U193" s="11">
        <v>0.7</v>
      </c>
      <c r="V193" s="11">
        <v>0.85</v>
      </c>
      <c r="W193" s="11">
        <v>0.85</v>
      </c>
      <c r="X193" s="11">
        <v>0</v>
      </c>
      <c r="Y193" s="11">
        <v>8</v>
      </c>
      <c r="Z193" s="12">
        <v>0.1062</v>
      </c>
      <c r="AA193" t="s">
        <v>66</v>
      </c>
      <c r="AB193" t="s">
        <v>56</v>
      </c>
      <c r="AC193" t="s">
        <v>57</v>
      </c>
      <c r="AD193" t="str">
        <f t="shared" si="2"/>
        <v>CONFLICTO</v>
      </c>
    </row>
    <row r="194" spans="1:30">
      <c r="A194" t="s">
        <v>666</v>
      </c>
      <c r="B194" s="15">
        <v>46225</v>
      </c>
      <c r="C194" t="s">
        <v>68</v>
      </c>
      <c r="D194">
        <v>30</v>
      </c>
      <c r="E194" t="s">
        <v>667</v>
      </c>
      <c r="F194" t="s">
        <v>668</v>
      </c>
      <c r="G194" t="s">
        <v>48</v>
      </c>
      <c r="H194" t="s">
        <v>116</v>
      </c>
      <c r="I194" t="s">
        <v>84</v>
      </c>
      <c r="J194" t="s">
        <v>63</v>
      </c>
      <c r="K194" t="s">
        <v>169</v>
      </c>
      <c r="L194" t="s">
        <v>64</v>
      </c>
      <c r="M194" t="s">
        <v>79</v>
      </c>
      <c r="N194" s="16">
        <v>46225.4</v>
      </c>
      <c r="O194" s="16">
        <v>46225.4166666667</v>
      </c>
      <c r="P194" s="16">
        <v>46225.6870833333</v>
      </c>
      <c r="Q194" s="16">
        <v>46225.7079166667</v>
      </c>
      <c r="R194" s="16">
        <v>46225.7183333333</v>
      </c>
      <c r="S194" s="16">
        <v>46225.735</v>
      </c>
      <c r="T194" s="16">
        <v>46225.76</v>
      </c>
      <c r="U194" s="11">
        <v>4.5</v>
      </c>
      <c r="V194" s="11">
        <v>5.49</v>
      </c>
      <c r="W194" s="11">
        <v>5.49</v>
      </c>
      <c r="X194" s="11">
        <v>0</v>
      </c>
      <c r="Y194" s="11">
        <v>8</v>
      </c>
      <c r="Z194" s="12">
        <v>0.6863</v>
      </c>
      <c r="AA194" t="s">
        <v>55</v>
      </c>
      <c r="AB194" t="s">
        <v>56</v>
      </c>
      <c r="AC194" t="s">
        <v>57</v>
      </c>
      <c r="AD194" t="str">
        <f t="shared" si="2"/>
        <v>CONFLICTO</v>
      </c>
    </row>
    <row r="195" spans="1:30">
      <c r="A195" t="s">
        <v>669</v>
      </c>
      <c r="B195" s="15">
        <v>46217</v>
      </c>
      <c r="C195" t="s">
        <v>88</v>
      </c>
      <c r="D195">
        <v>29</v>
      </c>
      <c r="E195" t="s">
        <v>670</v>
      </c>
      <c r="F195" t="s">
        <v>671</v>
      </c>
      <c r="G195" t="s">
        <v>48</v>
      </c>
      <c r="H195" t="s">
        <v>173</v>
      </c>
      <c r="I195" t="s">
        <v>101</v>
      </c>
      <c r="J195" t="s">
        <v>85</v>
      </c>
      <c r="K195" t="s">
        <v>165</v>
      </c>
      <c r="L195" t="s">
        <v>53</v>
      </c>
      <c r="M195" t="s">
        <v>86</v>
      </c>
      <c r="N195" s="16">
        <v>46217.5666666667</v>
      </c>
      <c r="O195" s="16">
        <v>46217.5833333333</v>
      </c>
      <c r="P195" s="16">
        <v>46217.61875</v>
      </c>
      <c r="Q195" s="16">
        <v>46217.6395833333</v>
      </c>
      <c r="R195" s="16">
        <v>46217.65</v>
      </c>
      <c r="S195" s="16">
        <v>46217.6666666667</v>
      </c>
      <c r="T195" s="16">
        <v>46217.6916666667</v>
      </c>
      <c r="U195" s="11">
        <v>0.7</v>
      </c>
      <c r="V195" s="11">
        <v>0.85</v>
      </c>
      <c r="W195" s="11">
        <v>0.85</v>
      </c>
      <c r="X195" s="11">
        <v>0</v>
      </c>
      <c r="Y195" s="11">
        <v>8</v>
      </c>
      <c r="Z195" s="12">
        <v>0.1062</v>
      </c>
      <c r="AA195" t="s">
        <v>66</v>
      </c>
      <c r="AB195" t="s">
        <v>56</v>
      </c>
      <c r="AC195" t="s">
        <v>57</v>
      </c>
      <c r="AD195" t="str">
        <f t="shared" si="2"/>
        <v>CONFLICTO</v>
      </c>
    </row>
    <row r="196" spans="1:30">
      <c r="A196" t="s">
        <v>672</v>
      </c>
      <c r="B196" s="15">
        <v>46230</v>
      </c>
      <c r="C196" t="s">
        <v>45</v>
      </c>
      <c r="D196">
        <v>31</v>
      </c>
      <c r="E196" t="s">
        <v>673</v>
      </c>
      <c r="F196" t="s">
        <v>674</v>
      </c>
      <c r="G196" t="s">
        <v>48</v>
      </c>
      <c r="H196" t="s">
        <v>83</v>
      </c>
      <c r="I196" t="s">
        <v>194</v>
      </c>
      <c r="J196" t="s">
        <v>297</v>
      </c>
      <c r="K196" t="s">
        <v>52</v>
      </c>
      <c r="L196" t="s">
        <v>64</v>
      </c>
      <c r="M196" t="s">
        <v>91</v>
      </c>
      <c r="N196" s="16">
        <v>46230.6291666667</v>
      </c>
      <c r="O196" s="16">
        <v>46230.6458333333</v>
      </c>
      <c r="P196" s="16">
        <v>46230.7016666667</v>
      </c>
      <c r="Q196" s="16">
        <v>46230.7225</v>
      </c>
      <c r="R196" s="16">
        <v>46230.7329166667</v>
      </c>
      <c r="S196" s="16">
        <v>46230.7495833333</v>
      </c>
      <c r="T196" s="16">
        <v>46230.7745833333</v>
      </c>
      <c r="U196" s="11">
        <v>1.1</v>
      </c>
      <c r="V196" s="11">
        <v>1.34</v>
      </c>
      <c r="W196" s="11">
        <v>1.34</v>
      </c>
      <c r="X196" s="11">
        <v>0</v>
      </c>
      <c r="Y196" s="11">
        <v>8</v>
      </c>
      <c r="Z196" s="12">
        <v>0.1675</v>
      </c>
      <c r="AA196" t="s">
        <v>66</v>
      </c>
      <c r="AB196" t="s">
        <v>56</v>
      </c>
      <c r="AC196" t="s">
        <v>298</v>
      </c>
      <c r="AD196" t="str">
        <f t="shared" si="2"/>
        <v>CONFLICTO</v>
      </c>
    </row>
    <row r="197" spans="1:30">
      <c r="A197" t="s">
        <v>675</v>
      </c>
      <c r="B197" s="15">
        <v>46226</v>
      </c>
      <c r="C197" t="s">
        <v>107</v>
      </c>
      <c r="D197">
        <v>30</v>
      </c>
      <c r="E197" t="s">
        <v>676</v>
      </c>
      <c r="F197" t="s">
        <v>677</v>
      </c>
      <c r="G197" t="s">
        <v>48</v>
      </c>
      <c r="H197" t="s">
        <v>49</v>
      </c>
      <c r="I197" t="s">
        <v>177</v>
      </c>
      <c r="J197" t="s">
        <v>63</v>
      </c>
      <c r="K197" t="s">
        <v>169</v>
      </c>
      <c r="L197" t="s">
        <v>53</v>
      </c>
      <c r="M197" t="s">
        <v>54</v>
      </c>
      <c r="N197" s="16">
        <v>46226.3166666667</v>
      </c>
      <c r="O197" s="16">
        <v>46226.3333333333</v>
      </c>
      <c r="P197" s="16">
        <v>46226.36875</v>
      </c>
      <c r="Q197" s="16">
        <v>46226.3895833333</v>
      </c>
      <c r="R197" s="16">
        <v>46226.4</v>
      </c>
      <c r="S197" s="16">
        <v>46226.4166666667</v>
      </c>
      <c r="T197" s="16">
        <v>46226.4416666667</v>
      </c>
      <c r="U197" s="11">
        <v>0.7</v>
      </c>
      <c r="V197" s="11">
        <v>0.85</v>
      </c>
      <c r="W197" s="11">
        <v>0.85</v>
      </c>
      <c r="X197" s="11">
        <v>0</v>
      </c>
      <c r="Y197" s="11">
        <v>8</v>
      </c>
      <c r="Z197" s="12">
        <v>0.1062</v>
      </c>
      <c r="AA197" t="s">
        <v>66</v>
      </c>
      <c r="AB197" t="s">
        <v>56</v>
      </c>
      <c r="AC197" t="s">
        <v>57</v>
      </c>
      <c r="AD197" t="str">
        <f t="shared" ref="AD197:AD234" si="3">IF(COUNTIFS($B$5:$B$234,B197,$K$5:$K$234,K197,$O$5:$O$234,"&lt;"&amp;P197,$P$5:$P$234,"&gt;"&amp;O197)&gt;1,"CONFLICTO","OK")</f>
        <v>CONFLICTO</v>
      </c>
    </row>
    <row r="198" spans="1:30">
      <c r="A198" t="s">
        <v>678</v>
      </c>
      <c r="B198" s="15">
        <v>46220</v>
      </c>
      <c r="C198" t="s">
        <v>93</v>
      </c>
      <c r="D198">
        <v>29</v>
      </c>
      <c r="E198" t="s">
        <v>679</v>
      </c>
      <c r="F198" t="s">
        <v>680</v>
      </c>
      <c r="G198" t="s">
        <v>48</v>
      </c>
      <c r="H198" t="s">
        <v>71</v>
      </c>
      <c r="I198" t="s">
        <v>194</v>
      </c>
      <c r="J198" t="s">
        <v>85</v>
      </c>
      <c r="K198" t="s">
        <v>105</v>
      </c>
      <c r="L198" t="s">
        <v>64</v>
      </c>
      <c r="M198" t="s">
        <v>65</v>
      </c>
      <c r="N198" s="16">
        <v>46220.4</v>
      </c>
      <c r="O198" s="16">
        <v>46220.4166666667</v>
      </c>
      <c r="P198" s="16">
        <v>46220.4725</v>
      </c>
      <c r="Q198" s="16">
        <v>46220.4933333333</v>
      </c>
      <c r="R198" s="16">
        <v>46220.50375</v>
      </c>
      <c r="S198" s="16">
        <v>46220.5204166667</v>
      </c>
      <c r="T198" s="16">
        <v>46220.5454166667</v>
      </c>
      <c r="U198" s="11">
        <v>1.1</v>
      </c>
      <c r="V198" s="11">
        <v>1.34</v>
      </c>
      <c r="W198" s="11">
        <v>1.34</v>
      </c>
      <c r="X198" s="11">
        <v>0</v>
      </c>
      <c r="Y198" s="11">
        <v>8</v>
      </c>
      <c r="Z198" s="12">
        <v>0.1675</v>
      </c>
      <c r="AA198" t="s">
        <v>66</v>
      </c>
      <c r="AB198" t="s">
        <v>56</v>
      </c>
      <c r="AC198" t="s">
        <v>57</v>
      </c>
      <c r="AD198" t="str">
        <f t="shared" si="3"/>
        <v>OK</v>
      </c>
    </row>
    <row r="199" spans="1:30">
      <c r="A199" t="s">
        <v>681</v>
      </c>
      <c r="B199" s="15">
        <v>46217</v>
      </c>
      <c r="C199" t="s">
        <v>88</v>
      </c>
      <c r="D199">
        <v>29</v>
      </c>
      <c r="E199" t="s">
        <v>682</v>
      </c>
      <c r="F199" t="s">
        <v>683</v>
      </c>
      <c r="G199" t="s">
        <v>48</v>
      </c>
      <c r="H199" t="s">
        <v>281</v>
      </c>
      <c r="I199" t="s">
        <v>101</v>
      </c>
      <c r="J199" t="s">
        <v>51</v>
      </c>
      <c r="K199" t="s">
        <v>52</v>
      </c>
      <c r="L199" t="s">
        <v>53</v>
      </c>
      <c r="M199" t="s">
        <v>73</v>
      </c>
      <c r="N199" s="16">
        <v>46217.5666666667</v>
      </c>
      <c r="O199" s="16">
        <v>46217.5833333333</v>
      </c>
      <c r="P199" s="16">
        <v>46217.61875</v>
      </c>
      <c r="Q199" s="16">
        <v>46217.6395833333</v>
      </c>
      <c r="R199" s="16">
        <v>46217.65</v>
      </c>
      <c r="S199" s="16">
        <v>46217.6666666667</v>
      </c>
      <c r="T199" s="16">
        <v>46217.6916666667</v>
      </c>
      <c r="U199" s="11">
        <v>0.7</v>
      </c>
      <c r="V199" s="11">
        <v>0.85</v>
      </c>
      <c r="W199" s="11">
        <v>0.85</v>
      </c>
      <c r="X199" s="11">
        <v>0</v>
      </c>
      <c r="Y199" s="11">
        <v>8</v>
      </c>
      <c r="Z199" s="12">
        <v>0.1062</v>
      </c>
      <c r="AA199" t="s">
        <v>66</v>
      </c>
      <c r="AB199" t="s">
        <v>56</v>
      </c>
      <c r="AC199" t="s">
        <v>57</v>
      </c>
      <c r="AD199" t="str">
        <f t="shared" si="3"/>
        <v>CONFLICTO</v>
      </c>
    </row>
    <row r="200" spans="1:30">
      <c r="A200" t="s">
        <v>684</v>
      </c>
      <c r="B200" s="15">
        <v>46217</v>
      </c>
      <c r="C200" t="s">
        <v>88</v>
      </c>
      <c r="D200">
        <v>29</v>
      </c>
      <c r="E200" t="s">
        <v>685</v>
      </c>
      <c r="F200" t="s">
        <v>686</v>
      </c>
      <c r="G200" t="s">
        <v>48</v>
      </c>
      <c r="H200" t="s">
        <v>121</v>
      </c>
      <c r="I200" t="s">
        <v>50</v>
      </c>
      <c r="J200" t="s">
        <v>51</v>
      </c>
      <c r="K200" t="s">
        <v>169</v>
      </c>
      <c r="L200" t="s">
        <v>64</v>
      </c>
      <c r="M200" t="s">
        <v>79</v>
      </c>
      <c r="N200" s="16">
        <v>46217.6291666667</v>
      </c>
      <c r="O200" s="16">
        <v>46217.6458333333</v>
      </c>
      <c r="P200" s="16">
        <v>46217.8591666667</v>
      </c>
      <c r="Q200" s="16">
        <v>46217.88</v>
      </c>
      <c r="R200" s="16">
        <v>46217.8904166667</v>
      </c>
      <c r="S200" s="16">
        <v>46217.9070833333</v>
      </c>
      <c r="T200" s="16">
        <v>46217.9320833333</v>
      </c>
      <c r="U200" s="11">
        <v>4.2</v>
      </c>
      <c r="V200" s="11">
        <v>5.12</v>
      </c>
      <c r="W200" s="11">
        <v>2.12</v>
      </c>
      <c r="X200" s="11">
        <v>3</v>
      </c>
      <c r="Y200" s="11">
        <v>8</v>
      </c>
      <c r="Z200" s="12">
        <v>0.64</v>
      </c>
      <c r="AA200" t="s">
        <v>55</v>
      </c>
      <c r="AB200" t="s">
        <v>56</v>
      </c>
      <c r="AC200" t="s">
        <v>57</v>
      </c>
      <c r="AD200" t="str">
        <f t="shared" si="3"/>
        <v>OK</v>
      </c>
    </row>
    <row r="201" spans="1:30">
      <c r="A201" t="s">
        <v>687</v>
      </c>
      <c r="B201" s="15">
        <v>46218</v>
      </c>
      <c r="C201" t="s">
        <v>68</v>
      </c>
      <c r="D201">
        <v>29</v>
      </c>
      <c r="E201" t="s">
        <v>688</v>
      </c>
      <c r="F201" t="s">
        <v>689</v>
      </c>
      <c r="G201" t="s">
        <v>48</v>
      </c>
      <c r="H201" t="s">
        <v>49</v>
      </c>
      <c r="I201" t="s">
        <v>158</v>
      </c>
      <c r="J201" t="s">
        <v>63</v>
      </c>
      <c r="K201" t="s">
        <v>141</v>
      </c>
      <c r="L201" t="s">
        <v>53</v>
      </c>
      <c r="M201" t="s">
        <v>86</v>
      </c>
      <c r="N201" s="16">
        <v>46218.3166666667</v>
      </c>
      <c r="O201" s="16">
        <v>46218.3333333333</v>
      </c>
      <c r="P201" s="16">
        <v>46218.3766666667</v>
      </c>
      <c r="Q201" s="16">
        <v>46218.3975</v>
      </c>
      <c r="R201" s="16">
        <v>46218.4079166667</v>
      </c>
      <c r="S201" s="16">
        <v>46218.4245833333</v>
      </c>
      <c r="T201" s="16">
        <v>46218.4495833333</v>
      </c>
      <c r="U201" s="11">
        <v>0.85</v>
      </c>
      <c r="V201" s="11">
        <v>1.04</v>
      </c>
      <c r="W201" s="11">
        <v>1.04</v>
      </c>
      <c r="X201" s="11">
        <v>0</v>
      </c>
      <c r="Y201" s="11">
        <v>8</v>
      </c>
      <c r="Z201" s="12">
        <v>0.13</v>
      </c>
      <c r="AA201" t="s">
        <v>66</v>
      </c>
      <c r="AB201" t="s">
        <v>56</v>
      </c>
      <c r="AC201" t="s">
        <v>57</v>
      </c>
      <c r="AD201" t="str">
        <f t="shared" si="3"/>
        <v>OK</v>
      </c>
    </row>
    <row r="202" spans="1:30">
      <c r="A202" t="s">
        <v>690</v>
      </c>
      <c r="B202" s="15">
        <v>46230</v>
      </c>
      <c r="C202" t="s">
        <v>45</v>
      </c>
      <c r="D202">
        <v>31</v>
      </c>
      <c r="E202" t="s">
        <v>691</v>
      </c>
      <c r="F202" t="s">
        <v>692</v>
      </c>
      <c r="G202" t="s">
        <v>48</v>
      </c>
      <c r="H202" t="s">
        <v>173</v>
      </c>
      <c r="I202" t="s">
        <v>72</v>
      </c>
      <c r="J202" t="s">
        <v>63</v>
      </c>
      <c r="K202" t="s">
        <v>165</v>
      </c>
      <c r="L202" t="s">
        <v>64</v>
      </c>
      <c r="M202" t="s">
        <v>91</v>
      </c>
      <c r="N202" s="16">
        <v>46230.4</v>
      </c>
      <c r="O202" s="16">
        <v>46230.4166666667</v>
      </c>
      <c r="P202" s="16">
        <v>46230.4445833333</v>
      </c>
      <c r="Q202" s="16">
        <v>46230.4654166667</v>
      </c>
      <c r="R202" s="16">
        <v>46230.4758333333</v>
      </c>
      <c r="S202" s="16">
        <v>46230.4925</v>
      </c>
      <c r="T202" s="16">
        <v>46230.5175</v>
      </c>
      <c r="U202" s="11">
        <v>0.55</v>
      </c>
      <c r="V202" s="11">
        <v>0.67</v>
      </c>
      <c r="W202" s="11">
        <v>0.67</v>
      </c>
      <c r="X202" s="11">
        <v>0</v>
      </c>
      <c r="Y202" s="11">
        <v>8</v>
      </c>
      <c r="Z202" s="12">
        <v>0.0838</v>
      </c>
      <c r="AA202" t="s">
        <v>66</v>
      </c>
      <c r="AB202" t="s">
        <v>56</v>
      </c>
      <c r="AC202" t="s">
        <v>57</v>
      </c>
      <c r="AD202" t="str">
        <f t="shared" si="3"/>
        <v>CONFLICTO</v>
      </c>
    </row>
    <row r="203" spans="1:30">
      <c r="A203" t="s">
        <v>693</v>
      </c>
      <c r="B203" s="15">
        <v>46226</v>
      </c>
      <c r="C203" t="s">
        <v>107</v>
      </c>
      <c r="D203">
        <v>30</v>
      </c>
      <c r="E203" t="s">
        <v>694</v>
      </c>
      <c r="F203" t="s">
        <v>695</v>
      </c>
      <c r="G203" t="s">
        <v>48</v>
      </c>
      <c r="H203" t="s">
        <v>71</v>
      </c>
      <c r="I203" t="s">
        <v>84</v>
      </c>
      <c r="J203" t="s">
        <v>51</v>
      </c>
      <c r="K203" t="s">
        <v>52</v>
      </c>
      <c r="L203" t="s">
        <v>53</v>
      </c>
      <c r="M203" t="s">
        <v>54</v>
      </c>
      <c r="N203" s="16">
        <v>46226.5666666667</v>
      </c>
      <c r="O203" s="16">
        <v>46226.5833333333</v>
      </c>
      <c r="P203" s="16">
        <v>46226.8120833333</v>
      </c>
      <c r="Q203" s="16">
        <v>46226.8329166667</v>
      </c>
      <c r="R203" s="16">
        <v>46226.8433333333</v>
      </c>
      <c r="S203" s="16">
        <v>46226.86</v>
      </c>
      <c r="T203" s="16">
        <v>46226.885</v>
      </c>
      <c r="U203" s="11">
        <v>4.5</v>
      </c>
      <c r="V203" s="11">
        <v>5.49</v>
      </c>
      <c r="W203" s="11">
        <v>3.5</v>
      </c>
      <c r="X203" s="11">
        <v>1.99</v>
      </c>
      <c r="Y203" s="11">
        <v>8</v>
      </c>
      <c r="Z203" s="12">
        <v>0.6863</v>
      </c>
      <c r="AA203" t="s">
        <v>55</v>
      </c>
      <c r="AB203" t="s">
        <v>56</v>
      </c>
      <c r="AC203" t="s">
        <v>57</v>
      </c>
      <c r="AD203" t="str">
        <f t="shared" si="3"/>
        <v>CONFLICTO</v>
      </c>
    </row>
    <row r="204" spans="1:30">
      <c r="A204" t="s">
        <v>696</v>
      </c>
      <c r="B204" s="15">
        <v>46219</v>
      </c>
      <c r="C204" t="s">
        <v>107</v>
      </c>
      <c r="D204">
        <v>29</v>
      </c>
      <c r="E204" t="s">
        <v>697</v>
      </c>
      <c r="F204" t="s">
        <v>698</v>
      </c>
      <c r="G204" t="s">
        <v>48</v>
      </c>
      <c r="H204" t="s">
        <v>281</v>
      </c>
      <c r="I204" t="s">
        <v>62</v>
      </c>
      <c r="J204" t="s">
        <v>117</v>
      </c>
      <c r="K204" t="s">
        <v>78</v>
      </c>
      <c r="L204" t="s">
        <v>64</v>
      </c>
      <c r="M204" t="s">
        <v>65</v>
      </c>
      <c r="N204" s="16">
        <v>46219.6291666667</v>
      </c>
      <c r="O204" s="16">
        <v>46219.6458333333</v>
      </c>
      <c r="P204" s="16">
        <v>46219.67875</v>
      </c>
      <c r="Q204" s="16">
        <v>46219.6995833333</v>
      </c>
      <c r="R204" s="16">
        <v>46219.71</v>
      </c>
      <c r="S204" s="16">
        <v>46219.7266666667</v>
      </c>
      <c r="T204" s="16">
        <v>46219.7516666667</v>
      </c>
      <c r="U204" s="11">
        <v>0.65</v>
      </c>
      <c r="V204" s="11">
        <v>0.79</v>
      </c>
      <c r="W204" s="11">
        <v>0.79</v>
      </c>
      <c r="X204" s="11">
        <v>0</v>
      </c>
      <c r="Y204" s="11">
        <v>8</v>
      </c>
      <c r="Z204" s="12">
        <v>0.0988</v>
      </c>
      <c r="AA204" t="s">
        <v>66</v>
      </c>
      <c r="AB204" t="s">
        <v>56</v>
      </c>
      <c r="AC204" t="s">
        <v>57</v>
      </c>
      <c r="AD204" t="str">
        <f t="shared" si="3"/>
        <v>CONFLICTO</v>
      </c>
    </row>
    <row r="205" spans="1:30">
      <c r="A205" t="s">
        <v>699</v>
      </c>
      <c r="B205" s="15">
        <v>46219</v>
      </c>
      <c r="C205" t="s">
        <v>107</v>
      </c>
      <c r="D205">
        <v>29</v>
      </c>
      <c r="E205" t="s">
        <v>700</v>
      </c>
      <c r="F205" t="s">
        <v>701</v>
      </c>
      <c r="G205" t="s">
        <v>48</v>
      </c>
      <c r="H205" t="s">
        <v>71</v>
      </c>
      <c r="I205" t="s">
        <v>50</v>
      </c>
      <c r="J205" t="s">
        <v>63</v>
      </c>
      <c r="K205" t="s">
        <v>52</v>
      </c>
      <c r="L205" t="s">
        <v>53</v>
      </c>
      <c r="M205" t="s">
        <v>73</v>
      </c>
      <c r="N205" s="16">
        <v>46219.3166666667</v>
      </c>
      <c r="O205" s="16">
        <v>46219.3333333333</v>
      </c>
      <c r="P205" s="16">
        <v>46219.5883333333</v>
      </c>
      <c r="Q205" s="16">
        <v>46219.6091666667</v>
      </c>
      <c r="R205" s="16">
        <v>46219.6195833333</v>
      </c>
      <c r="S205" s="16">
        <v>46219.63625</v>
      </c>
      <c r="T205" s="16">
        <v>46219.66125</v>
      </c>
      <c r="U205" s="11">
        <v>4.2</v>
      </c>
      <c r="V205" s="11">
        <v>5.12</v>
      </c>
      <c r="W205" s="11">
        <v>5.12</v>
      </c>
      <c r="X205" s="11">
        <v>0</v>
      </c>
      <c r="Y205" s="11">
        <v>8</v>
      </c>
      <c r="Z205" s="12">
        <v>0.64</v>
      </c>
      <c r="AA205" t="s">
        <v>55</v>
      </c>
      <c r="AB205" t="s">
        <v>56</v>
      </c>
      <c r="AC205" t="s">
        <v>57</v>
      </c>
      <c r="AD205" t="str">
        <f t="shared" si="3"/>
        <v>CONFLICTO</v>
      </c>
    </row>
    <row r="206" spans="1:30">
      <c r="A206" t="s">
        <v>702</v>
      </c>
      <c r="B206" s="15">
        <v>46220</v>
      </c>
      <c r="C206" t="s">
        <v>93</v>
      </c>
      <c r="D206">
        <v>29</v>
      </c>
      <c r="E206" t="s">
        <v>703</v>
      </c>
      <c r="F206" t="s">
        <v>704</v>
      </c>
      <c r="G206" t="s">
        <v>48</v>
      </c>
      <c r="H206" t="s">
        <v>71</v>
      </c>
      <c r="I206" t="s">
        <v>184</v>
      </c>
      <c r="J206" t="s">
        <v>117</v>
      </c>
      <c r="K206" t="s">
        <v>52</v>
      </c>
      <c r="L206" t="s">
        <v>64</v>
      </c>
      <c r="M206" t="s">
        <v>79</v>
      </c>
      <c r="N206" s="16">
        <v>46220.4</v>
      </c>
      <c r="O206" s="16">
        <v>46220.4166666667</v>
      </c>
      <c r="P206" s="16">
        <v>46220.6666666667</v>
      </c>
      <c r="Q206" s="16">
        <v>46220.6875</v>
      </c>
      <c r="R206" s="16">
        <v>46220.6979166667</v>
      </c>
      <c r="S206" s="16">
        <v>46220.7145833333</v>
      </c>
      <c r="T206" s="16">
        <v>46220.7395833333</v>
      </c>
      <c r="U206" s="11">
        <v>4.1</v>
      </c>
      <c r="V206" s="11">
        <v>5</v>
      </c>
      <c r="W206" s="11">
        <v>5</v>
      </c>
      <c r="X206" s="11">
        <v>0</v>
      </c>
      <c r="Y206" s="11">
        <v>8</v>
      </c>
      <c r="Z206" s="12">
        <v>0.625</v>
      </c>
      <c r="AA206" t="s">
        <v>55</v>
      </c>
      <c r="AB206" t="s">
        <v>56</v>
      </c>
      <c r="AC206" t="s">
        <v>57</v>
      </c>
      <c r="AD206" t="str">
        <f t="shared" si="3"/>
        <v>CONFLICTO</v>
      </c>
    </row>
    <row r="207" spans="1:30">
      <c r="A207" t="s">
        <v>705</v>
      </c>
      <c r="B207" s="15">
        <v>46217</v>
      </c>
      <c r="C207" t="s">
        <v>88</v>
      </c>
      <c r="D207">
        <v>29</v>
      </c>
      <c r="E207" t="s">
        <v>706</v>
      </c>
      <c r="F207" t="s">
        <v>707</v>
      </c>
      <c r="G207" t="s">
        <v>48</v>
      </c>
      <c r="H207" t="s">
        <v>61</v>
      </c>
      <c r="I207" t="s">
        <v>72</v>
      </c>
      <c r="J207" t="s">
        <v>63</v>
      </c>
      <c r="K207" t="s">
        <v>165</v>
      </c>
      <c r="L207" t="s">
        <v>53</v>
      </c>
      <c r="M207" t="s">
        <v>86</v>
      </c>
      <c r="N207" s="16">
        <v>46217.5666666667</v>
      </c>
      <c r="O207" s="16">
        <v>46217.5833333333</v>
      </c>
      <c r="P207" s="16">
        <v>46217.61125</v>
      </c>
      <c r="Q207" s="16">
        <v>46217.6320833333</v>
      </c>
      <c r="R207" s="16">
        <v>46217.6425</v>
      </c>
      <c r="S207" s="16">
        <v>46217.6591666667</v>
      </c>
      <c r="T207" s="16">
        <v>46217.6841666667</v>
      </c>
      <c r="U207" s="11">
        <v>0.55</v>
      </c>
      <c r="V207" s="11">
        <v>0.67</v>
      </c>
      <c r="W207" s="11">
        <v>0.67</v>
      </c>
      <c r="X207" s="11">
        <v>0</v>
      </c>
      <c r="Y207" s="11">
        <v>8</v>
      </c>
      <c r="Z207" s="12">
        <v>0.0838</v>
      </c>
      <c r="AA207" t="s">
        <v>66</v>
      </c>
      <c r="AB207" t="s">
        <v>56</v>
      </c>
      <c r="AC207" t="s">
        <v>57</v>
      </c>
      <c r="AD207" t="str">
        <f t="shared" si="3"/>
        <v>CONFLICTO</v>
      </c>
    </row>
    <row r="208" spans="1:30">
      <c r="A208" t="s">
        <v>708</v>
      </c>
      <c r="B208" s="15">
        <v>46218</v>
      </c>
      <c r="C208" t="s">
        <v>68</v>
      </c>
      <c r="D208">
        <v>29</v>
      </c>
      <c r="E208" t="s">
        <v>709</v>
      </c>
      <c r="F208" t="s">
        <v>710</v>
      </c>
      <c r="G208" t="s">
        <v>48</v>
      </c>
      <c r="H208" t="s">
        <v>121</v>
      </c>
      <c r="I208" t="s">
        <v>194</v>
      </c>
      <c r="J208" t="s">
        <v>117</v>
      </c>
      <c r="K208" t="s">
        <v>165</v>
      </c>
      <c r="L208" t="s">
        <v>64</v>
      </c>
      <c r="M208" t="s">
        <v>91</v>
      </c>
      <c r="N208" s="16">
        <v>46218.6291666667</v>
      </c>
      <c r="O208" s="16">
        <v>46218.6458333333</v>
      </c>
      <c r="P208" s="16">
        <v>46218.7016666667</v>
      </c>
      <c r="Q208" s="16">
        <v>46218.7225</v>
      </c>
      <c r="R208" s="16">
        <v>46218.7329166667</v>
      </c>
      <c r="S208" s="16">
        <v>46218.7495833333</v>
      </c>
      <c r="T208" s="16">
        <v>46218.7745833333</v>
      </c>
      <c r="U208" s="11">
        <v>1.1</v>
      </c>
      <c r="V208" s="11">
        <v>1.34</v>
      </c>
      <c r="W208" s="11">
        <v>1.34</v>
      </c>
      <c r="X208" s="11">
        <v>0</v>
      </c>
      <c r="Y208" s="11">
        <v>8</v>
      </c>
      <c r="Z208" s="12">
        <v>0.1675</v>
      </c>
      <c r="AA208" t="s">
        <v>66</v>
      </c>
      <c r="AB208" t="s">
        <v>56</v>
      </c>
      <c r="AC208" t="s">
        <v>57</v>
      </c>
      <c r="AD208" t="str">
        <f t="shared" si="3"/>
        <v>OK</v>
      </c>
    </row>
    <row r="209" spans="1:30">
      <c r="A209" t="s">
        <v>711</v>
      </c>
      <c r="B209" s="15">
        <v>46225</v>
      </c>
      <c r="C209" t="s">
        <v>68</v>
      </c>
      <c r="D209">
        <v>30</v>
      </c>
      <c r="E209" t="s">
        <v>712</v>
      </c>
      <c r="F209" t="s">
        <v>713</v>
      </c>
      <c r="G209" t="s">
        <v>48</v>
      </c>
      <c r="H209" t="s">
        <v>154</v>
      </c>
      <c r="I209" t="s">
        <v>77</v>
      </c>
      <c r="J209" t="s">
        <v>117</v>
      </c>
      <c r="K209" t="s">
        <v>78</v>
      </c>
      <c r="L209" t="s">
        <v>53</v>
      </c>
      <c r="M209" t="s">
        <v>54</v>
      </c>
      <c r="N209" s="16">
        <v>46225.3166666667</v>
      </c>
      <c r="O209" s="16">
        <v>46225.3333333333</v>
      </c>
      <c r="P209" s="16">
        <v>46225.3766666667</v>
      </c>
      <c r="Q209" s="16">
        <v>46225.3975</v>
      </c>
      <c r="R209" s="16">
        <v>46225.4079166667</v>
      </c>
      <c r="S209" s="16">
        <v>46225.4245833333</v>
      </c>
      <c r="T209" s="16">
        <v>46225.4495833333</v>
      </c>
      <c r="U209" s="11">
        <v>0.85</v>
      </c>
      <c r="V209" s="11">
        <v>1.04</v>
      </c>
      <c r="W209" s="11">
        <v>1.04</v>
      </c>
      <c r="X209" s="11">
        <v>0</v>
      </c>
      <c r="Y209" s="11">
        <v>8</v>
      </c>
      <c r="Z209" s="12">
        <v>0.13</v>
      </c>
      <c r="AA209" t="s">
        <v>66</v>
      </c>
      <c r="AB209" t="s">
        <v>56</v>
      </c>
      <c r="AC209" t="s">
        <v>57</v>
      </c>
      <c r="AD209" t="str">
        <f t="shared" si="3"/>
        <v>CONFLICTO</v>
      </c>
    </row>
    <row r="210" spans="1:30">
      <c r="A210" t="s">
        <v>714</v>
      </c>
      <c r="B210" s="15">
        <v>46223</v>
      </c>
      <c r="C210" t="s">
        <v>45</v>
      </c>
      <c r="D210">
        <v>30</v>
      </c>
      <c r="E210" t="s">
        <v>715</v>
      </c>
      <c r="F210" t="s">
        <v>716</v>
      </c>
      <c r="G210" t="s">
        <v>48</v>
      </c>
      <c r="H210" t="s">
        <v>256</v>
      </c>
      <c r="I210" t="s">
        <v>101</v>
      </c>
      <c r="J210" t="s">
        <v>51</v>
      </c>
      <c r="K210" t="s">
        <v>141</v>
      </c>
      <c r="L210" t="s">
        <v>64</v>
      </c>
      <c r="M210" t="s">
        <v>65</v>
      </c>
      <c r="N210" s="16">
        <v>46223.4</v>
      </c>
      <c r="O210" s="16">
        <v>46223.4166666667</v>
      </c>
      <c r="P210" s="16">
        <v>46223.4520833333</v>
      </c>
      <c r="Q210" s="16">
        <v>46223.4729166667</v>
      </c>
      <c r="R210" s="16">
        <v>46223.4833333333</v>
      </c>
      <c r="S210" s="16">
        <v>46223.5</v>
      </c>
      <c r="T210" s="16">
        <v>46223.525</v>
      </c>
      <c r="U210" s="11">
        <v>0.7</v>
      </c>
      <c r="V210" s="11">
        <v>0.85</v>
      </c>
      <c r="W210" s="11">
        <v>0.85</v>
      </c>
      <c r="X210" s="11">
        <v>0</v>
      </c>
      <c r="Y210" s="11">
        <v>8</v>
      </c>
      <c r="Z210" s="12">
        <v>0.1062</v>
      </c>
      <c r="AA210" t="s">
        <v>66</v>
      </c>
      <c r="AB210" t="s">
        <v>56</v>
      </c>
      <c r="AC210" t="s">
        <v>57</v>
      </c>
      <c r="AD210" t="str">
        <f t="shared" si="3"/>
        <v>CONFLICTO</v>
      </c>
    </row>
    <row r="211" spans="1:30">
      <c r="A211" t="s">
        <v>717</v>
      </c>
      <c r="B211" s="15">
        <v>46225</v>
      </c>
      <c r="C211" t="s">
        <v>68</v>
      </c>
      <c r="D211">
        <v>30</v>
      </c>
      <c r="E211" t="s">
        <v>718</v>
      </c>
      <c r="F211" t="s">
        <v>719</v>
      </c>
      <c r="G211" t="s">
        <v>48</v>
      </c>
      <c r="H211" t="s">
        <v>173</v>
      </c>
      <c r="I211" t="s">
        <v>158</v>
      </c>
      <c r="J211" t="s">
        <v>51</v>
      </c>
      <c r="K211" t="s">
        <v>52</v>
      </c>
      <c r="L211" t="s">
        <v>53</v>
      </c>
      <c r="M211" t="s">
        <v>73</v>
      </c>
      <c r="N211" s="16">
        <v>46225.5666666667</v>
      </c>
      <c r="O211" s="16">
        <v>46225.5833333333</v>
      </c>
      <c r="P211" s="16">
        <v>46225.6266666667</v>
      </c>
      <c r="Q211" s="16">
        <v>46225.6475</v>
      </c>
      <c r="R211" s="16">
        <v>46225.6579166667</v>
      </c>
      <c r="S211" s="16">
        <v>46225.6745833333</v>
      </c>
      <c r="T211" s="16">
        <v>46225.6995833333</v>
      </c>
      <c r="U211" s="11">
        <v>0.85</v>
      </c>
      <c r="V211" s="11">
        <v>1.04</v>
      </c>
      <c r="W211" s="11">
        <v>1.04</v>
      </c>
      <c r="X211" s="11">
        <v>0</v>
      </c>
      <c r="Y211" s="11">
        <v>8</v>
      </c>
      <c r="Z211" s="12">
        <v>0.13</v>
      </c>
      <c r="AA211" t="s">
        <v>66</v>
      </c>
      <c r="AB211" t="s">
        <v>56</v>
      </c>
      <c r="AC211" t="s">
        <v>57</v>
      </c>
      <c r="AD211" t="str">
        <f t="shared" si="3"/>
        <v>CONFLICTO</v>
      </c>
    </row>
    <row r="212" spans="1:30">
      <c r="A212" t="s">
        <v>720</v>
      </c>
      <c r="B212" s="15">
        <v>46225</v>
      </c>
      <c r="C212" t="s">
        <v>68</v>
      </c>
      <c r="D212">
        <v>30</v>
      </c>
      <c r="E212" t="s">
        <v>721</v>
      </c>
      <c r="F212" t="s">
        <v>722</v>
      </c>
      <c r="G212" t="s">
        <v>48</v>
      </c>
      <c r="H212" t="s">
        <v>96</v>
      </c>
      <c r="I212" t="s">
        <v>184</v>
      </c>
      <c r="J212" t="s">
        <v>51</v>
      </c>
      <c r="K212" t="s">
        <v>105</v>
      </c>
      <c r="L212" t="s">
        <v>64</v>
      </c>
      <c r="M212" t="s">
        <v>79</v>
      </c>
      <c r="N212" s="16">
        <v>46225.6291666667</v>
      </c>
      <c r="O212" s="16">
        <v>46225.6458333333</v>
      </c>
      <c r="P212" s="16">
        <v>46225.8541666667</v>
      </c>
      <c r="Q212" s="16">
        <v>46225.875</v>
      </c>
      <c r="R212" s="16">
        <v>46225.8854166667</v>
      </c>
      <c r="S212" s="16">
        <v>46225.9020833333</v>
      </c>
      <c r="T212" s="16">
        <v>46225.9270833333</v>
      </c>
      <c r="U212" s="11">
        <v>4.1</v>
      </c>
      <c r="V212" s="11">
        <v>5</v>
      </c>
      <c r="W212" s="11">
        <v>2</v>
      </c>
      <c r="X212" s="11">
        <v>3</v>
      </c>
      <c r="Y212" s="11">
        <v>8</v>
      </c>
      <c r="Z212" s="12">
        <v>0.625</v>
      </c>
      <c r="AA212" t="s">
        <v>55</v>
      </c>
      <c r="AB212" t="s">
        <v>56</v>
      </c>
      <c r="AC212" t="s">
        <v>57</v>
      </c>
      <c r="AD212" t="str">
        <f t="shared" si="3"/>
        <v>CONFLICTO</v>
      </c>
    </row>
    <row r="213" spans="1:30">
      <c r="A213" t="s">
        <v>723</v>
      </c>
      <c r="B213" s="15">
        <v>46226</v>
      </c>
      <c r="C213" t="s">
        <v>107</v>
      </c>
      <c r="D213">
        <v>30</v>
      </c>
      <c r="E213" t="s">
        <v>724</v>
      </c>
      <c r="F213" t="s">
        <v>725</v>
      </c>
      <c r="G213" t="s">
        <v>48</v>
      </c>
      <c r="H213" t="s">
        <v>281</v>
      </c>
      <c r="I213" t="s">
        <v>62</v>
      </c>
      <c r="J213" t="s">
        <v>51</v>
      </c>
      <c r="K213" t="s">
        <v>105</v>
      </c>
      <c r="L213" t="s">
        <v>53</v>
      </c>
      <c r="M213" t="s">
        <v>86</v>
      </c>
      <c r="N213" s="16">
        <v>46226.3166666667</v>
      </c>
      <c r="O213" s="16">
        <v>46226.3333333333</v>
      </c>
      <c r="P213" s="16">
        <v>46226.36625</v>
      </c>
      <c r="Q213" s="16">
        <v>46226.3870833333</v>
      </c>
      <c r="R213" s="16">
        <v>46226.3975</v>
      </c>
      <c r="S213" s="16">
        <v>46226.4141666667</v>
      </c>
      <c r="T213" s="16">
        <v>46226.4391666667</v>
      </c>
      <c r="U213" s="11">
        <v>0.65</v>
      </c>
      <c r="V213" s="11">
        <v>0.79</v>
      </c>
      <c r="W213" s="11">
        <v>0.79</v>
      </c>
      <c r="X213" s="11">
        <v>0</v>
      </c>
      <c r="Y213" s="11">
        <v>8</v>
      </c>
      <c r="Z213" s="12">
        <v>0.0988</v>
      </c>
      <c r="AA213" t="s">
        <v>66</v>
      </c>
      <c r="AB213" t="s">
        <v>56</v>
      </c>
      <c r="AC213" t="s">
        <v>57</v>
      </c>
      <c r="AD213" t="str">
        <f t="shared" si="3"/>
        <v>OK</v>
      </c>
    </row>
    <row r="214" spans="1:30">
      <c r="A214" t="s">
        <v>726</v>
      </c>
      <c r="B214" s="15">
        <v>46217</v>
      </c>
      <c r="C214" t="s">
        <v>88</v>
      </c>
      <c r="D214">
        <v>29</v>
      </c>
      <c r="E214" t="s">
        <v>727</v>
      </c>
      <c r="F214" t="s">
        <v>728</v>
      </c>
      <c r="G214" t="s">
        <v>48</v>
      </c>
      <c r="H214" t="s">
        <v>116</v>
      </c>
      <c r="I214" t="s">
        <v>194</v>
      </c>
      <c r="J214" t="s">
        <v>51</v>
      </c>
      <c r="K214" t="s">
        <v>78</v>
      </c>
      <c r="L214" t="s">
        <v>64</v>
      </c>
      <c r="M214" t="s">
        <v>91</v>
      </c>
      <c r="N214" s="16">
        <v>46217.4</v>
      </c>
      <c r="O214" s="16">
        <v>46217.4166666667</v>
      </c>
      <c r="P214" s="16">
        <v>46217.4725</v>
      </c>
      <c r="Q214" s="16">
        <v>46217.4933333333</v>
      </c>
      <c r="R214" s="16">
        <v>46217.50375</v>
      </c>
      <c r="S214" s="16">
        <v>46217.5204166667</v>
      </c>
      <c r="T214" s="16">
        <v>46217.5454166667</v>
      </c>
      <c r="U214" s="11">
        <v>1.1</v>
      </c>
      <c r="V214" s="11">
        <v>1.34</v>
      </c>
      <c r="W214" s="11">
        <v>1.34</v>
      </c>
      <c r="X214" s="11">
        <v>0</v>
      </c>
      <c r="Y214" s="11">
        <v>8</v>
      </c>
      <c r="Z214" s="12">
        <v>0.1675</v>
      </c>
      <c r="AA214" t="s">
        <v>66</v>
      </c>
      <c r="AB214" t="s">
        <v>56</v>
      </c>
      <c r="AC214" t="s">
        <v>57</v>
      </c>
      <c r="AD214" t="str">
        <f t="shared" si="3"/>
        <v>CONFLICTO</v>
      </c>
    </row>
    <row r="215" spans="1:30">
      <c r="A215" t="s">
        <v>729</v>
      </c>
      <c r="B215" s="15">
        <v>46220</v>
      </c>
      <c r="C215" t="s">
        <v>93</v>
      </c>
      <c r="D215">
        <v>29</v>
      </c>
      <c r="E215" t="s">
        <v>730</v>
      </c>
      <c r="F215" t="s">
        <v>731</v>
      </c>
      <c r="G215" t="s">
        <v>48</v>
      </c>
      <c r="H215" t="s">
        <v>281</v>
      </c>
      <c r="I215" t="s">
        <v>194</v>
      </c>
      <c r="J215" t="s">
        <v>51</v>
      </c>
      <c r="K215" t="s">
        <v>169</v>
      </c>
      <c r="L215" t="s">
        <v>53</v>
      </c>
      <c r="M215" t="s">
        <v>54</v>
      </c>
      <c r="N215" s="16">
        <v>46220.5666666667</v>
      </c>
      <c r="O215" s="16">
        <v>46220.5833333333</v>
      </c>
      <c r="P215" s="16">
        <v>46220.6391666667</v>
      </c>
      <c r="Q215" s="16">
        <v>46220.66</v>
      </c>
      <c r="R215" s="16">
        <v>46220.6704166667</v>
      </c>
      <c r="S215" s="16">
        <v>46220.6870833333</v>
      </c>
      <c r="T215" s="16">
        <v>46220.7120833333</v>
      </c>
      <c r="U215" s="11">
        <v>1.1</v>
      </c>
      <c r="V215" s="11">
        <v>1.34</v>
      </c>
      <c r="W215" s="11">
        <v>1.34</v>
      </c>
      <c r="X215" s="11">
        <v>0</v>
      </c>
      <c r="Y215" s="11">
        <v>8</v>
      </c>
      <c r="Z215" s="12">
        <v>0.1675</v>
      </c>
      <c r="AA215" t="s">
        <v>66</v>
      </c>
      <c r="AB215" t="s">
        <v>56</v>
      </c>
      <c r="AC215" t="s">
        <v>57</v>
      </c>
      <c r="AD215" t="str">
        <f t="shared" si="3"/>
        <v>CONFLICTO</v>
      </c>
    </row>
    <row r="216" spans="1:30">
      <c r="A216" t="s">
        <v>732</v>
      </c>
      <c r="B216" s="15">
        <v>46227</v>
      </c>
      <c r="C216" t="s">
        <v>93</v>
      </c>
      <c r="D216">
        <v>30</v>
      </c>
      <c r="E216" t="s">
        <v>733</v>
      </c>
      <c r="F216" t="s">
        <v>734</v>
      </c>
      <c r="G216" t="s">
        <v>48</v>
      </c>
      <c r="H216" t="s">
        <v>173</v>
      </c>
      <c r="I216" t="s">
        <v>101</v>
      </c>
      <c r="J216" t="s">
        <v>63</v>
      </c>
      <c r="K216" t="s">
        <v>105</v>
      </c>
      <c r="L216" t="s">
        <v>64</v>
      </c>
      <c r="M216" t="s">
        <v>65</v>
      </c>
      <c r="N216" s="16">
        <v>46227.6291666667</v>
      </c>
      <c r="O216" s="16">
        <v>46227.6458333333</v>
      </c>
      <c r="P216" s="16">
        <v>46227.68125</v>
      </c>
      <c r="Q216" s="16">
        <v>46227.7020833333</v>
      </c>
      <c r="R216" s="16">
        <v>46227.7125</v>
      </c>
      <c r="S216" s="16">
        <v>46227.7291666667</v>
      </c>
      <c r="T216" s="16">
        <v>46227.7541666667</v>
      </c>
      <c r="U216" s="11">
        <v>0.7</v>
      </c>
      <c r="V216" s="11">
        <v>0.85</v>
      </c>
      <c r="W216" s="11">
        <v>0.85</v>
      </c>
      <c r="X216" s="11">
        <v>0</v>
      </c>
      <c r="Y216" s="11">
        <v>8</v>
      </c>
      <c r="Z216" s="12">
        <v>0.1062</v>
      </c>
      <c r="AA216" t="s">
        <v>66</v>
      </c>
      <c r="AB216" t="s">
        <v>56</v>
      </c>
      <c r="AC216" t="s">
        <v>57</v>
      </c>
      <c r="AD216" t="str">
        <f t="shared" si="3"/>
        <v>CONFLICTO</v>
      </c>
    </row>
    <row r="217" spans="1:30">
      <c r="A217" t="s">
        <v>735</v>
      </c>
      <c r="B217" s="15">
        <v>46227</v>
      </c>
      <c r="C217" t="s">
        <v>93</v>
      </c>
      <c r="D217">
        <v>30</v>
      </c>
      <c r="E217" t="s">
        <v>736</v>
      </c>
      <c r="F217" t="s">
        <v>737</v>
      </c>
      <c r="G217" t="s">
        <v>48</v>
      </c>
      <c r="H217" t="s">
        <v>61</v>
      </c>
      <c r="I217" t="s">
        <v>194</v>
      </c>
      <c r="J217" t="s">
        <v>85</v>
      </c>
      <c r="K217" t="s">
        <v>52</v>
      </c>
      <c r="L217" t="s">
        <v>53</v>
      </c>
      <c r="M217" t="s">
        <v>73</v>
      </c>
      <c r="N217" s="16">
        <v>46227.3166666667</v>
      </c>
      <c r="O217" s="16">
        <v>46227.3333333333</v>
      </c>
      <c r="P217" s="16">
        <v>46227.3891666667</v>
      </c>
      <c r="Q217" s="16">
        <v>46227.41</v>
      </c>
      <c r="R217" s="16">
        <v>46227.4204166667</v>
      </c>
      <c r="S217" s="16">
        <v>46227.4370833333</v>
      </c>
      <c r="T217" s="16">
        <v>46227.4620833333</v>
      </c>
      <c r="U217" s="11">
        <v>1.1</v>
      </c>
      <c r="V217" s="11">
        <v>1.34</v>
      </c>
      <c r="W217" s="11">
        <v>1.34</v>
      </c>
      <c r="X217" s="11">
        <v>0</v>
      </c>
      <c r="Y217" s="11">
        <v>8</v>
      </c>
      <c r="Z217" s="12">
        <v>0.1675</v>
      </c>
      <c r="AA217" t="s">
        <v>66</v>
      </c>
      <c r="AB217" t="s">
        <v>56</v>
      </c>
      <c r="AC217" t="s">
        <v>57</v>
      </c>
      <c r="AD217" t="str">
        <f t="shared" si="3"/>
        <v>CONFLICTO</v>
      </c>
    </row>
    <row r="218" spans="1:30">
      <c r="A218" t="s">
        <v>738</v>
      </c>
      <c r="B218" s="15">
        <v>46227</v>
      </c>
      <c r="C218" t="s">
        <v>93</v>
      </c>
      <c r="D218">
        <v>30</v>
      </c>
      <c r="E218" t="s">
        <v>739</v>
      </c>
      <c r="F218" t="s">
        <v>740</v>
      </c>
      <c r="G218" t="s">
        <v>48</v>
      </c>
      <c r="H218" t="s">
        <v>71</v>
      </c>
      <c r="I218" t="s">
        <v>184</v>
      </c>
      <c r="J218" t="s">
        <v>63</v>
      </c>
      <c r="K218" t="s">
        <v>105</v>
      </c>
      <c r="L218" t="s">
        <v>64</v>
      </c>
      <c r="M218" t="s">
        <v>79</v>
      </c>
      <c r="N218" s="16">
        <v>46227.4</v>
      </c>
      <c r="O218" s="16">
        <v>46227.4166666667</v>
      </c>
      <c r="P218" s="16">
        <v>46227.6666666667</v>
      </c>
      <c r="Q218" s="16">
        <v>46227.6875</v>
      </c>
      <c r="R218" s="16">
        <v>46227.6979166667</v>
      </c>
      <c r="S218" s="16">
        <v>46227.7145833333</v>
      </c>
      <c r="T218" s="16">
        <v>46227.7395833333</v>
      </c>
      <c r="U218" s="11">
        <v>4.1</v>
      </c>
      <c r="V218" s="11">
        <v>5</v>
      </c>
      <c r="W218" s="11">
        <v>5</v>
      </c>
      <c r="X218" s="11">
        <v>0</v>
      </c>
      <c r="Y218" s="11">
        <v>8</v>
      </c>
      <c r="Z218" s="12">
        <v>0.625</v>
      </c>
      <c r="AA218" t="s">
        <v>55</v>
      </c>
      <c r="AB218" t="s">
        <v>56</v>
      </c>
      <c r="AC218" t="s">
        <v>57</v>
      </c>
      <c r="AD218" t="str">
        <f t="shared" si="3"/>
        <v>CONFLICTO</v>
      </c>
    </row>
    <row r="219" spans="1:30">
      <c r="A219" t="s">
        <v>741</v>
      </c>
      <c r="B219" s="15">
        <v>46227</v>
      </c>
      <c r="C219" t="s">
        <v>93</v>
      </c>
      <c r="D219">
        <v>30</v>
      </c>
      <c r="E219" t="s">
        <v>742</v>
      </c>
      <c r="F219" t="s">
        <v>743</v>
      </c>
      <c r="G219" t="s">
        <v>48</v>
      </c>
      <c r="H219" t="s">
        <v>121</v>
      </c>
      <c r="I219" t="s">
        <v>77</v>
      </c>
      <c r="J219" t="s">
        <v>85</v>
      </c>
      <c r="K219" t="s">
        <v>52</v>
      </c>
      <c r="L219" t="s">
        <v>53</v>
      </c>
      <c r="M219" t="s">
        <v>86</v>
      </c>
      <c r="N219" s="16">
        <v>46227.5666666667</v>
      </c>
      <c r="O219" s="16">
        <v>46227.5833333333</v>
      </c>
      <c r="P219" s="16">
        <v>46227.6266666667</v>
      </c>
      <c r="Q219" s="16">
        <v>46227.6475</v>
      </c>
      <c r="R219" s="16">
        <v>46227.6579166667</v>
      </c>
      <c r="S219" s="16">
        <v>46227.6745833333</v>
      </c>
      <c r="T219" s="16">
        <v>46227.6995833333</v>
      </c>
      <c r="U219" s="11">
        <v>0.85</v>
      </c>
      <c r="V219" s="11">
        <v>1.04</v>
      </c>
      <c r="W219" s="11">
        <v>1.04</v>
      </c>
      <c r="X219" s="11">
        <v>0</v>
      </c>
      <c r="Y219" s="11">
        <v>8</v>
      </c>
      <c r="Z219" s="12">
        <v>0.13</v>
      </c>
      <c r="AA219" t="s">
        <v>66</v>
      </c>
      <c r="AB219" t="s">
        <v>56</v>
      </c>
      <c r="AC219" t="s">
        <v>57</v>
      </c>
      <c r="AD219" t="str">
        <f t="shared" si="3"/>
        <v>CONFLICTO</v>
      </c>
    </row>
    <row r="220" spans="1:30">
      <c r="A220" t="s">
        <v>744</v>
      </c>
      <c r="B220" s="15">
        <v>46224</v>
      </c>
      <c r="C220" t="s">
        <v>88</v>
      </c>
      <c r="D220">
        <v>30</v>
      </c>
      <c r="E220" t="s">
        <v>745</v>
      </c>
      <c r="F220" t="s">
        <v>746</v>
      </c>
      <c r="G220" t="s">
        <v>48</v>
      </c>
      <c r="H220" t="s">
        <v>116</v>
      </c>
      <c r="I220" t="s">
        <v>329</v>
      </c>
      <c r="J220" t="s">
        <v>63</v>
      </c>
      <c r="K220" t="s">
        <v>141</v>
      </c>
      <c r="L220" t="s">
        <v>64</v>
      </c>
      <c r="M220" t="s">
        <v>91</v>
      </c>
      <c r="N220" s="16">
        <v>46224.6291666667</v>
      </c>
      <c r="O220" s="16">
        <v>46224.6458333333</v>
      </c>
      <c r="P220" s="16">
        <v>46224.8133333333</v>
      </c>
      <c r="Q220" s="16">
        <v>46224.8341666667</v>
      </c>
      <c r="R220" s="16">
        <v>46224.8445833333</v>
      </c>
      <c r="S220" s="16">
        <v>46224.86125</v>
      </c>
      <c r="T220" s="16">
        <v>46224.88625</v>
      </c>
      <c r="U220" s="11">
        <v>3.3</v>
      </c>
      <c r="V220" s="11">
        <v>4.02</v>
      </c>
      <c r="W220" s="11">
        <v>2</v>
      </c>
      <c r="X220" s="11">
        <v>2.02</v>
      </c>
      <c r="Y220" s="11">
        <v>8</v>
      </c>
      <c r="Z220" s="12">
        <v>0.5025</v>
      </c>
      <c r="AA220" t="s">
        <v>66</v>
      </c>
      <c r="AB220" t="s">
        <v>56</v>
      </c>
      <c r="AC220" t="s">
        <v>57</v>
      </c>
      <c r="AD220" t="str">
        <f t="shared" si="3"/>
        <v>CONFLICTO</v>
      </c>
    </row>
    <row r="221" spans="1:30">
      <c r="A221" t="s">
        <v>747</v>
      </c>
      <c r="B221" s="15">
        <v>46224</v>
      </c>
      <c r="C221" t="s">
        <v>88</v>
      </c>
      <c r="D221">
        <v>30</v>
      </c>
      <c r="E221" t="s">
        <v>748</v>
      </c>
      <c r="F221" t="s">
        <v>749</v>
      </c>
      <c r="G221" t="s">
        <v>48</v>
      </c>
      <c r="H221" t="s">
        <v>83</v>
      </c>
      <c r="I221" t="s">
        <v>72</v>
      </c>
      <c r="J221" t="s">
        <v>63</v>
      </c>
      <c r="K221" t="s">
        <v>165</v>
      </c>
      <c r="L221" t="s">
        <v>53</v>
      </c>
      <c r="M221" t="s">
        <v>54</v>
      </c>
      <c r="N221" s="16">
        <v>46224.3166666667</v>
      </c>
      <c r="O221" s="16">
        <v>46224.3333333333</v>
      </c>
      <c r="P221" s="16">
        <v>46224.36125</v>
      </c>
      <c r="Q221" s="16">
        <v>46224.3820833333</v>
      </c>
      <c r="R221" s="16">
        <v>46224.3925</v>
      </c>
      <c r="S221" s="16">
        <v>46224.4091666667</v>
      </c>
      <c r="T221" s="16">
        <v>46224.4341666667</v>
      </c>
      <c r="U221" s="11">
        <v>0.55</v>
      </c>
      <c r="V221" s="11">
        <v>0.67</v>
      </c>
      <c r="W221" s="11">
        <v>0.67</v>
      </c>
      <c r="X221" s="11">
        <v>0</v>
      </c>
      <c r="Y221" s="11">
        <v>8</v>
      </c>
      <c r="Z221" s="12">
        <v>0.0838</v>
      </c>
      <c r="AA221" t="s">
        <v>66</v>
      </c>
      <c r="AB221" t="s">
        <v>56</v>
      </c>
      <c r="AC221" t="s">
        <v>57</v>
      </c>
      <c r="AD221" t="str">
        <f t="shared" si="3"/>
        <v>CONFLICTO</v>
      </c>
    </row>
    <row r="222" spans="1:30">
      <c r="A222" t="s">
        <v>750</v>
      </c>
      <c r="B222" s="15">
        <v>46226</v>
      </c>
      <c r="C222" t="s">
        <v>107</v>
      </c>
      <c r="D222">
        <v>30</v>
      </c>
      <c r="E222" t="s">
        <v>751</v>
      </c>
      <c r="F222" t="s">
        <v>752</v>
      </c>
      <c r="G222" t="s">
        <v>48</v>
      </c>
      <c r="H222" t="s">
        <v>116</v>
      </c>
      <c r="I222" t="s">
        <v>72</v>
      </c>
      <c r="J222" t="s">
        <v>51</v>
      </c>
      <c r="K222" t="s">
        <v>169</v>
      </c>
      <c r="L222" t="s">
        <v>64</v>
      </c>
      <c r="M222" t="s">
        <v>65</v>
      </c>
      <c r="N222" s="16">
        <v>46226.4</v>
      </c>
      <c r="O222" s="16">
        <v>46226.4166666667</v>
      </c>
      <c r="P222" s="16">
        <v>46226.4445833333</v>
      </c>
      <c r="Q222" s="16">
        <v>46226.4654166667</v>
      </c>
      <c r="R222" s="16">
        <v>46226.4758333333</v>
      </c>
      <c r="S222" s="16">
        <v>46226.4925</v>
      </c>
      <c r="T222" s="16">
        <v>46226.5175</v>
      </c>
      <c r="U222" s="11">
        <v>0.55</v>
      </c>
      <c r="V222" s="11">
        <v>0.67</v>
      </c>
      <c r="W222" s="11">
        <v>0.67</v>
      </c>
      <c r="X222" s="11">
        <v>0</v>
      </c>
      <c r="Y222" s="11">
        <v>8</v>
      </c>
      <c r="Z222" s="12">
        <v>0.0838</v>
      </c>
      <c r="AA222" t="s">
        <v>66</v>
      </c>
      <c r="AB222" t="s">
        <v>56</v>
      </c>
      <c r="AC222" t="s">
        <v>57</v>
      </c>
      <c r="AD222" t="str">
        <f t="shared" si="3"/>
        <v>CONFLICTO</v>
      </c>
    </row>
    <row r="223" spans="1:30">
      <c r="A223" t="s">
        <v>753</v>
      </c>
      <c r="B223" s="15">
        <v>46218</v>
      </c>
      <c r="C223" t="s">
        <v>68</v>
      </c>
      <c r="D223">
        <v>29</v>
      </c>
      <c r="E223" t="s">
        <v>754</v>
      </c>
      <c r="F223" t="s">
        <v>755</v>
      </c>
      <c r="G223" t="s">
        <v>48</v>
      </c>
      <c r="H223" t="s">
        <v>96</v>
      </c>
      <c r="I223" t="s">
        <v>72</v>
      </c>
      <c r="J223" t="s">
        <v>51</v>
      </c>
      <c r="K223" t="s">
        <v>78</v>
      </c>
      <c r="L223" t="s">
        <v>53</v>
      </c>
      <c r="M223" t="s">
        <v>73</v>
      </c>
      <c r="N223" s="16">
        <v>46218.5666666667</v>
      </c>
      <c r="O223" s="16">
        <v>46218.5833333333</v>
      </c>
      <c r="P223" s="16">
        <v>46218.61125</v>
      </c>
      <c r="Q223" s="16">
        <v>46218.6320833333</v>
      </c>
      <c r="R223" s="16">
        <v>46218.6425</v>
      </c>
      <c r="S223" s="16">
        <v>46218.6591666667</v>
      </c>
      <c r="T223" s="16">
        <v>46218.6841666667</v>
      </c>
      <c r="U223" s="11">
        <v>0.55</v>
      </c>
      <c r="V223" s="11">
        <v>0.67</v>
      </c>
      <c r="W223" s="11">
        <v>0.67</v>
      </c>
      <c r="X223" s="11">
        <v>0</v>
      </c>
      <c r="Y223" s="11">
        <v>8</v>
      </c>
      <c r="Z223" s="12">
        <v>0.0838</v>
      </c>
      <c r="AA223" t="s">
        <v>66</v>
      </c>
      <c r="AB223" t="s">
        <v>56</v>
      </c>
      <c r="AC223" t="s">
        <v>57</v>
      </c>
      <c r="AD223" t="str">
        <f t="shared" si="3"/>
        <v>CONFLICTO</v>
      </c>
    </row>
    <row r="224" spans="1:30">
      <c r="A224" t="s">
        <v>756</v>
      </c>
      <c r="B224" s="15">
        <v>46227</v>
      </c>
      <c r="C224" t="s">
        <v>93</v>
      </c>
      <c r="D224">
        <v>30</v>
      </c>
      <c r="E224" t="s">
        <v>757</v>
      </c>
      <c r="F224" t="s">
        <v>758</v>
      </c>
      <c r="G224" t="s">
        <v>48</v>
      </c>
      <c r="H224" t="s">
        <v>96</v>
      </c>
      <c r="I224" t="s">
        <v>329</v>
      </c>
      <c r="J224" t="s">
        <v>51</v>
      </c>
      <c r="K224" t="s">
        <v>169</v>
      </c>
      <c r="L224" t="s">
        <v>64</v>
      </c>
      <c r="M224" t="s">
        <v>79</v>
      </c>
      <c r="N224" s="16">
        <v>46227.6291666667</v>
      </c>
      <c r="O224" s="16">
        <v>46227.6458333333</v>
      </c>
      <c r="P224" s="16">
        <v>46227.8133333333</v>
      </c>
      <c r="Q224" s="16">
        <v>46227.8341666667</v>
      </c>
      <c r="R224" s="16">
        <v>46227.8445833333</v>
      </c>
      <c r="S224" s="16">
        <v>46227.86125</v>
      </c>
      <c r="T224" s="16">
        <v>46227.88625</v>
      </c>
      <c r="U224" s="11">
        <v>3.3</v>
      </c>
      <c r="V224" s="11">
        <v>4.02</v>
      </c>
      <c r="W224" s="11">
        <v>2</v>
      </c>
      <c r="X224" s="11">
        <v>2.02</v>
      </c>
      <c r="Y224" s="11">
        <v>8</v>
      </c>
      <c r="Z224" s="12">
        <v>0.5025</v>
      </c>
      <c r="AA224" t="s">
        <v>66</v>
      </c>
      <c r="AB224" t="s">
        <v>56</v>
      </c>
      <c r="AC224" t="s">
        <v>57</v>
      </c>
      <c r="AD224" t="str">
        <f t="shared" si="3"/>
        <v>CONFLICTO</v>
      </c>
    </row>
    <row r="225" spans="1:30">
      <c r="A225" t="s">
        <v>759</v>
      </c>
      <c r="B225" s="15">
        <v>46224</v>
      </c>
      <c r="C225" t="s">
        <v>88</v>
      </c>
      <c r="D225">
        <v>30</v>
      </c>
      <c r="E225" t="s">
        <v>760</v>
      </c>
      <c r="F225" t="s">
        <v>761</v>
      </c>
      <c r="G225" t="s">
        <v>48</v>
      </c>
      <c r="H225" t="s">
        <v>49</v>
      </c>
      <c r="I225" t="s">
        <v>184</v>
      </c>
      <c r="J225" t="s">
        <v>51</v>
      </c>
      <c r="K225" t="s">
        <v>165</v>
      </c>
      <c r="L225" t="s">
        <v>53</v>
      </c>
      <c r="M225" t="s">
        <v>86</v>
      </c>
      <c r="N225" s="16">
        <v>46224.3166666667</v>
      </c>
      <c r="O225" s="16">
        <v>46224.3333333333</v>
      </c>
      <c r="P225" s="16">
        <v>46224.5416666667</v>
      </c>
      <c r="Q225" s="16">
        <v>46224.5625</v>
      </c>
      <c r="R225" s="16">
        <v>46224.5729166667</v>
      </c>
      <c r="S225" s="16">
        <v>46224.5895833333</v>
      </c>
      <c r="T225" s="16">
        <v>46224.6145833333</v>
      </c>
      <c r="U225" s="11">
        <v>4.1</v>
      </c>
      <c r="V225" s="11">
        <v>5</v>
      </c>
      <c r="W225" s="11">
        <v>5</v>
      </c>
      <c r="X225" s="11">
        <v>0</v>
      </c>
      <c r="Y225" s="11">
        <v>8</v>
      </c>
      <c r="Z225" s="12">
        <v>0.625</v>
      </c>
      <c r="AA225" t="s">
        <v>55</v>
      </c>
      <c r="AB225" t="s">
        <v>56</v>
      </c>
      <c r="AC225" t="s">
        <v>57</v>
      </c>
      <c r="AD225" t="str">
        <f t="shared" si="3"/>
        <v>CONFLICTO</v>
      </c>
    </row>
    <row r="226" spans="1:30">
      <c r="A226" t="s">
        <v>762</v>
      </c>
      <c r="B226" s="15">
        <v>46219</v>
      </c>
      <c r="C226" t="s">
        <v>107</v>
      </c>
      <c r="D226">
        <v>29</v>
      </c>
      <c r="E226" t="s">
        <v>763</v>
      </c>
      <c r="F226" t="s">
        <v>764</v>
      </c>
      <c r="G226" t="s">
        <v>48</v>
      </c>
      <c r="H226" t="s">
        <v>116</v>
      </c>
      <c r="I226" t="s">
        <v>184</v>
      </c>
      <c r="J226" t="s">
        <v>117</v>
      </c>
      <c r="K226" t="s">
        <v>165</v>
      </c>
      <c r="L226" t="s">
        <v>64</v>
      </c>
      <c r="M226" t="s">
        <v>91</v>
      </c>
      <c r="N226" s="16">
        <v>46219.4</v>
      </c>
      <c r="O226" s="16">
        <v>46219.4166666667</v>
      </c>
      <c r="P226" s="16">
        <v>46219.6666666667</v>
      </c>
      <c r="Q226" s="16">
        <v>46219.6875</v>
      </c>
      <c r="R226" s="16">
        <v>46219.6979166667</v>
      </c>
      <c r="S226" s="16">
        <v>46219.7145833333</v>
      </c>
      <c r="T226" s="16">
        <v>46219.7395833333</v>
      </c>
      <c r="U226" s="11">
        <v>4.1</v>
      </c>
      <c r="V226" s="11">
        <v>5</v>
      </c>
      <c r="W226" s="11">
        <v>5</v>
      </c>
      <c r="X226" s="11">
        <v>0</v>
      </c>
      <c r="Y226" s="11">
        <v>8</v>
      </c>
      <c r="Z226" s="12">
        <v>0.625</v>
      </c>
      <c r="AA226" t="s">
        <v>55</v>
      </c>
      <c r="AB226" t="s">
        <v>56</v>
      </c>
      <c r="AC226" t="s">
        <v>57</v>
      </c>
      <c r="AD226" t="str">
        <f t="shared" si="3"/>
        <v>CONFLICTO</v>
      </c>
    </row>
    <row r="227" spans="1:30">
      <c r="A227" t="s">
        <v>765</v>
      </c>
      <c r="B227" s="15">
        <v>46218</v>
      </c>
      <c r="C227" t="s">
        <v>68</v>
      </c>
      <c r="D227">
        <v>29</v>
      </c>
      <c r="E227" t="s">
        <v>766</v>
      </c>
      <c r="F227" t="s">
        <v>767</v>
      </c>
      <c r="G227" t="s">
        <v>48</v>
      </c>
      <c r="H227" t="s">
        <v>116</v>
      </c>
      <c r="I227" t="s">
        <v>158</v>
      </c>
      <c r="J227" t="s">
        <v>63</v>
      </c>
      <c r="K227" t="s">
        <v>141</v>
      </c>
      <c r="L227" t="s">
        <v>53</v>
      </c>
      <c r="M227" t="s">
        <v>54</v>
      </c>
      <c r="N227" s="16">
        <v>46218.5666666667</v>
      </c>
      <c r="O227" s="16">
        <v>46218.5833333333</v>
      </c>
      <c r="P227" s="16">
        <v>46218.6266666667</v>
      </c>
      <c r="Q227" s="16">
        <v>46218.6475</v>
      </c>
      <c r="R227" s="16">
        <v>46218.6579166667</v>
      </c>
      <c r="S227" s="16">
        <v>46218.6745833333</v>
      </c>
      <c r="T227" s="16">
        <v>46218.6995833333</v>
      </c>
      <c r="U227" s="11">
        <v>0.85</v>
      </c>
      <c r="V227" s="11">
        <v>1.04</v>
      </c>
      <c r="W227" s="11">
        <v>1.04</v>
      </c>
      <c r="X227" s="11">
        <v>0</v>
      </c>
      <c r="Y227" s="11">
        <v>8</v>
      </c>
      <c r="Z227" s="12">
        <v>0.13</v>
      </c>
      <c r="AA227" t="s">
        <v>66</v>
      </c>
      <c r="AB227" t="s">
        <v>56</v>
      </c>
      <c r="AC227" t="s">
        <v>57</v>
      </c>
      <c r="AD227" t="str">
        <f t="shared" si="3"/>
        <v>OK</v>
      </c>
    </row>
    <row r="228" spans="1:30">
      <c r="A228" t="s">
        <v>768</v>
      </c>
      <c r="B228" s="15">
        <v>46226</v>
      </c>
      <c r="C228" t="s">
        <v>107</v>
      </c>
      <c r="D228">
        <v>30</v>
      </c>
      <c r="E228" t="s">
        <v>769</v>
      </c>
      <c r="F228" t="s">
        <v>770</v>
      </c>
      <c r="G228" t="s">
        <v>48</v>
      </c>
      <c r="H228" t="s">
        <v>121</v>
      </c>
      <c r="I228" t="s">
        <v>158</v>
      </c>
      <c r="J228" t="s">
        <v>63</v>
      </c>
      <c r="K228" t="s">
        <v>105</v>
      </c>
      <c r="L228" t="s">
        <v>64</v>
      </c>
      <c r="M228" t="s">
        <v>65</v>
      </c>
      <c r="N228" s="16">
        <v>46226.6291666667</v>
      </c>
      <c r="O228" s="16">
        <v>46226.6458333333</v>
      </c>
      <c r="P228" s="16">
        <v>46226.6891666667</v>
      </c>
      <c r="Q228" s="16">
        <v>46226.71</v>
      </c>
      <c r="R228" s="16">
        <v>46226.7204166667</v>
      </c>
      <c r="S228" s="16">
        <v>46226.7370833333</v>
      </c>
      <c r="T228" s="16">
        <v>46226.7620833333</v>
      </c>
      <c r="U228" s="11">
        <v>0.85</v>
      </c>
      <c r="V228" s="11">
        <v>1.04</v>
      </c>
      <c r="W228" s="11">
        <v>1.04</v>
      </c>
      <c r="X228" s="11">
        <v>0</v>
      </c>
      <c r="Y228" s="11">
        <v>8</v>
      </c>
      <c r="Z228" s="12">
        <v>0.13</v>
      </c>
      <c r="AA228" t="s">
        <v>66</v>
      </c>
      <c r="AB228" t="s">
        <v>56</v>
      </c>
      <c r="AC228" t="s">
        <v>57</v>
      </c>
      <c r="AD228" t="str">
        <f t="shared" si="3"/>
        <v>CONFLICTO</v>
      </c>
    </row>
    <row r="229" spans="1:30">
      <c r="A229" t="s">
        <v>771</v>
      </c>
      <c r="B229" s="15">
        <v>46226</v>
      </c>
      <c r="C229" t="s">
        <v>107</v>
      </c>
      <c r="D229">
        <v>30</v>
      </c>
      <c r="E229" t="s">
        <v>772</v>
      </c>
      <c r="F229" t="s">
        <v>773</v>
      </c>
      <c r="G229" t="s">
        <v>48</v>
      </c>
      <c r="H229" t="s">
        <v>71</v>
      </c>
      <c r="I229" t="s">
        <v>84</v>
      </c>
      <c r="J229" t="s">
        <v>51</v>
      </c>
      <c r="K229" t="s">
        <v>169</v>
      </c>
      <c r="L229" t="s">
        <v>53</v>
      </c>
      <c r="M229" t="s">
        <v>73</v>
      </c>
      <c r="N229" s="16">
        <v>46226.3166666667</v>
      </c>
      <c r="O229" s="16">
        <v>46226.3333333333</v>
      </c>
      <c r="P229" s="16">
        <v>46226.60375</v>
      </c>
      <c r="Q229" s="16">
        <v>46226.6245833333</v>
      </c>
      <c r="R229" s="16">
        <v>46226.635</v>
      </c>
      <c r="S229" s="16">
        <v>46226.6516666667</v>
      </c>
      <c r="T229" s="16">
        <v>46226.6766666667</v>
      </c>
      <c r="U229" s="11">
        <v>4.5</v>
      </c>
      <c r="V229" s="11">
        <v>5.49</v>
      </c>
      <c r="W229" s="11">
        <v>5.49</v>
      </c>
      <c r="X229" s="11">
        <v>0</v>
      </c>
      <c r="Y229" s="11">
        <v>8</v>
      </c>
      <c r="Z229" s="12">
        <v>0.6863</v>
      </c>
      <c r="AA229" t="s">
        <v>55</v>
      </c>
      <c r="AB229" t="s">
        <v>56</v>
      </c>
      <c r="AC229" t="s">
        <v>57</v>
      </c>
      <c r="AD229" t="str">
        <f t="shared" si="3"/>
        <v>CONFLICTO</v>
      </c>
    </row>
    <row r="230" spans="1:30">
      <c r="A230" t="s">
        <v>774</v>
      </c>
      <c r="B230" s="15">
        <v>46220</v>
      </c>
      <c r="C230" t="s">
        <v>93</v>
      </c>
      <c r="D230">
        <v>29</v>
      </c>
      <c r="E230" t="s">
        <v>775</v>
      </c>
      <c r="F230" t="s">
        <v>776</v>
      </c>
      <c r="G230" t="s">
        <v>48</v>
      </c>
      <c r="H230" t="s">
        <v>173</v>
      </c>
      <c r="I230" t="s">
        <v>101</v>
      </c>
      <c r="J230" t="s">
        <v>63</v>
      </c>
      <c r="K230" t="s">
        <v>141</v>
      </c>
      <c r="L230" t="s">
        <v>64</v>
      </c>
      <c r="M230" t="s">
        <v>79</v>
      </c>
      <c r="N230" s="16">
        <v>46220.4</v>
      </c>
      <c r="O230" s="16">
        <v>46220.4166666667</v>
      </c>
      <c r="P230" s="16">
        <v>46220.4520833333</v>
      </c>
      <c r="Q230" s="16">
        <v>46220.4729166667</v>
      </c>
      <c r="R230" s="16">
        <v>46220.4833333333</v>
      </c>
      <c r="S230" s="16">
        <v>46220.5</v>
      </c>
      <c r="T230" s="16">
        <v>46220.525</v>
      </c>
      <c r="U230" s="11">
        <v>0.7</v>
      </c>
      <c r="V230" s="11">
        <v>0.85</v>
      </c>
      <c r="W230" s="11">
        <v>0.85</v>
      </c>
      <c r="X230" s="11">
        <v>0</v>
      </c>
      <c r="Y230" s="11">
        <v>8</v>
      </c>
      <c r="Z230" s="12">
        <v>0.1062</v>
      </c>
      <c r="AA230" t="s">
        <v>66</v>
      </c>
      <c r="AB230" t="s">
        <v>56</v>
      </c>
      <c r="AC230" t="s">
        <v>57</v>
      </c>
      <c r="AD230" t="str">
        <f t="shared" si="3"/>
        <v>CONFLICTO</v>
      </c>
    </row>
    <row r="231" spans="1:30">
      <c r="A231" t="s">
        <v>777</v>
      </c>
      <c r="B231" s="15">
        <v>46216</v>
      </c>
      <c r="C231" t="s">
        <v>45</v>
      </c>
      <c r="D231">
        <v>29</v>
      </c>
      <c r="E231" t="s">
        <v>778</v>
      </c>
      <c r="F231" t="s">
        <v>779</v>
      </c>
      <c r="G231" t="s">
        <v>48</v>
      </c>
      <c r="H231" t="s">
        <v>281</v>
      </c>
      <c r="I231" t="s">
        <v>122</v>
      </c>
      <c r="J231" t="s">
        <v>63</v>
      </c>
      <c r="K231" t="s">
        <v>105</v>
      </c>
      <c r="L231" t="s">
        <v>53</v>
      </c>
      <c r="M231" t="s">
        <v>86</v>
      </c>
      <c r="N231" s="16">
        <v>46216.5666666667</v>
      </c>
      <c r="O231" s="16">
        <v>46216.5833333333</v>
      </c>
      <c r="P231" s="16">
        <v>46216.7816666667</v>
      </c>
      <c r="Q231" s="16">
        <v>46216.8025</v>
      </c>
      <c r="R231" s="16">
        <v>46216.8129166667</v>
      </c>
      <c r="S231" s="16">
        <v>46216.8295833333</v>
      </c>
      <c r="T231" s="16">
        <v>46216.8545833333</v>
      </c>
      <c r="U231" s="11">
        <v>3.9</v>
      </c>
      <c r="V231" s="11">
        <v>4.76</v>
      </c>
      <c r="W231" s="11">
        <v>3.5</v>
      </c>
      <c r="X231" s="11">
        <v>1.26</v>
      </c>
      <c r="Y231" s="11">
        <v>8</v>
      </c>
      <c r="Z231" s="12">
        <v>0.595</v>
      </c>
      <c r="AA231" t="s">
        <v>66</v>
      </c>
      <c r="AB231" t="s">
        <v>56</v>
      </c>
      <c r="AC231" t="s">
        <v>57</v>
      </c>
      <c r="AD231" t="str">
        <f t="shared" si="3"/>
        <v>CONFLICTO</v>
      </c>
    </row>
    <row r="232" spans="1:30">
      <c r="A232" t="s">
        <v>780</v>
      </c>
      <c r="B232" s="15">
        <v>46220</v>
      </c>
      <c r="C232" t="s">
        <v>93</v>
      </c>
      <c r="D232">
        <v>29</v>
      </c>
      <c r="E232" t="s">
        <v>781</v>
      </c>
      <c r="F232" t="s">
        <v>782</v>
      </c>
      <c r="G232" t="s">
        <v>48</v>
      </c>
      <c r="H232" t="s">
        <v>100</v>
      </c>
      <c r="I232" t="s">
        <v>184</v>
      </c>
      <c r="J232" t="s">
        <v>51</v>
      </c>
      <c r="K232" t="s">
        <v>78</v>
      </c>
      <c r="L232" t="s">
        <v>64</v>
      </c>
      <c r="M232" t="s">
        <v>91</v>
      </c>
      <c r="N232" s="16">
        <v>46220.6291666667</v>
      </c>
      <c r="O232" s="16">
        <v>46220.6458333333</v>
      </c>
      <c r="P232" s="16">
        <v>46220.8541666667</v>
      </c>
      <c r="Q232" s="16">
        <v>46220.875</v>
      </c>
      <c r="R232" s="16">
        <v>46220.8854166667</v>
      </c>
      <c r="S232" s="16">
        <v>46220.9020833333</v>
      </c>
      <c r="T232" s="16">
        <v>46220.9270833333</v>
      </c>
      <c r="U232" s="11">
        <v>4.1</v>
      </c>
      <c r="V232" s="11">
        <v>5</v>
      </c>
      <c r="W232" s="11">
        <v>2</v>
      </c>
      <c r="X232" s="11">
        <v>3</v>
      </c>
      <c r="Y232" s="11">
        <v>8</v>
      </c>
      <c r="Z232" s="12">
        <v>0.625</v>
      </c>
      <c r="AA232" t="s">
        <v>55</v>
      </c>
      <c r="AB232" t="s">
        <v>56</v>
      </c>
      <c r="AC232" t="s">
        <v>57</v>
      </c>
      <c r="AD232" t="str">
        <f t="shared" si="3"/>
        <v>OK</v>
      </c>
    </row>
    <row r="233" spans="1:30">
      <c r="A233" t="s">
        <v>783</v>
      </c>
      <c r="B233" s="15">
        <v>46216</v>
      </c>
      <c r="C233" t="s">
        <v>45</v>
      </c>
      <c r="D233">
        <v>29</v>
      </c>
      <c r="E233" t="s">
        <v>784</v>
      </c>
      <c r="F233" t="s">
        <v>785</v>
      </c>
      <c r="G233" t="s">
        <v>48</v>
      </c>
      <c r="H233" t="s">
        <v>154</v>
      </c>
      <c r="I233" t="s">
        <v>50</v>
      </c>
      <c r="J233" t="s">
        <v>51</v>
      </c>
      <c r="K233" t="s">
        <v>169</v>
      </c>
      <c r="L233" t="s">
        <v>53</v>
      </c>
      <c r="M233" t="s">
        <v>54</v>
      </c>
      <c r="N233" s="16">
        <v>46216.3166666667</v>
      </c>
      <c r="O233" s="16">
        <v>46216.3333333333</v>
      </c>
      <c r="P233" s="16">
        <v>46216.5883333333</v>
      </c>
      <c r="Q233" s="16">
        <v>46216.6091666667</v>
      </c>
      <c r="R233" s="16">
        <v>46216.6195833333</v>
      </c>
      <c r="S233" s="16">
        <v>46216.63625</v>
      </c>
      <c r="T233" s="16">
        <v>46216.66125</v>
      </c>
      <c r="U233" s="11">
        <v>4.2</v>
      </c>
      <c r="V233" s="11">
        <v>5.12</v>
      </c>
      <c r="W233" s="11">
        <v>5.12</v>
      </c>
      <c r="X233" s="11">
        <v>0</v>
      </c>
      <c r="Y233" s="11">
        <v>8</v>
      </c>
      <c r="Z233" s="12">
        <v>0.64</v>
      </c>
      <c r="AA233" t="s">
        <v>55</v>
      </c>
      <c r="AB233" t="s">
        <v>56</v>
      </c>
      <c r="AC233" t="s">
        <v>57</v>
      </c>
      <c r="AD233" t="str">
        <f t="shared" si="3"/>
        <v>CONFLICTO</v>
      </c>
    </row>
    <row r="234" spans="1:30">
      <c r="A234" t="s">
        <v>786</v>
      </c>
      <c r="B234" s="15">
        <v>46226</v>
      </c>
      <c r="C234" t="s">
        <v>107</v>
      </c>
      <c r="D234">
        <v>30</v>
      </c>
      <c r="E234" t="s">
        <v>787</v>
      </c>
      <c r="F234" t="s">
        <v>788</v>
      </c>
      <c r="G234" t="s">
        <v>48</v>
      </c>
      <c r="H234" t="s">
        <v>121</v>
      </c>
      <c r="I234" t="s">
        <v>72</v>
      </c>
      <c r="J234" t="s">
        <v>51</v>
      </c>
      <c r="K234" t="s">
        <v>105</v>
      </c>
      <c r="L234" t="s">
        <v>64</v>
      </c>
      <c r="M234" t="s">
        <v>65</v>
      </c>
      <c r="N234" s="16">
        <v>46226.4</v>
      </c>
      <c r="O234" s="16">
        <v>46226.4166666667</v>
      </c>
      <c r="P234" s="16">
        <v>46226.4445833333</v>
      </c>
      <c r="Q234" s="16">
        <v>46226.4654166667</v>
      </c>
      <c r="R234" s="16">
        <v>46226.4758333333</v>
      </c>
      <c r="S234" s="16">
        <v>46226.4925</v>
      </c>
      <c r="T234" s="16">
        <v>46226.5175</v>
      </c>
      <c r="U234" s="11">
        <v>0.55</v>
      </c>
      <c r="V234" s="11">
        <v>0.67</v>
      </c>
      <c r="W234" s="11">
        <v>0.67</v>
      </c>
      <c r="X234" s="11">
        <v>0</v>
      </c>
      <c r="Y234" s="11">
        <v>8</v>
      </c>
      <c r="Z234" s="12">
        <v>0.0838</v>
      </c>
      <c r="AA234" t="s">
        <v>66</v>
      </c>
      <c r="AB234" t="s">
        <v>56</v>
      </c>
      <c r="AC234" t="s">
        <v>57</v>
      </c>
      <c r="AD234" t="str">
        <f t="shared" si="3"/>
        <v>OK</v>
      </c>
    </row>
  </sheetData>
  <mergeCells count="1">
    <mergeCell ref="A1:K2"/>
  </mergeCells>
  <conditionalFormatting sqref="J5:J234">
    <cfRule type="expression" dxfId="0" priority="1">
      <formula>J5="En desarrollo"</formula>
    </cfRule>
    <cfRule type="expression" dxfId="1" priority="2">
      <formula>J5="Planificada"</formula>
    </cfRule>
    <cfRule type="expression" dxfId="2" priority="3">
      <formula>J5="Proyectada"</formula>
    </cfRule>
    <cfRule type="expression" dxfId="3" priority="4">
      <formula>J5="Prevista"</formula>
    </cfRule>
    <cfRule type="expression" dxfId="4" priority="5">
      <formula>J5="Parada"</formula>
    </cfRule>
  </conditionalFormatting>
  <conditionalFormatting sqref="Z5:Z234">
    <cfRule type="colorScale" priority="6">
      <colorScale>
        <cfvo type="min"/>
        <cfvo type="percentile" val="50"/>
        <cfvo type="max"/>
        <color rgb="FFE2F0D9"/>
        <color rgb="FFFFD966"/>
        <color rgb="FFF4CCCC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C14" sqref="C14"/>
    </sheetView>
  </sheetViews>
  <sheetFormatPr defaultColWidth="9" defaultRowHeight="13.8"/>
  <cols>
    <col min="1" max="2" width="22" customWidth="1"/>
    <col min="3" max="13" width="12" customWidth="1"/>
  </cols>
  <sheetData>
    <row r="1" spans="1:13">
      <c r="A1" s="1" t="s">
        <v>789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>
      <c r="A4" s="6" t="s">
        <v>24</v>
      </c>
      <c r="B4" s="6" t="s">
        <v>790</v>
      </c>
      <c r="C4" s="10">
        <v>46216</v>
      </c>
      <c r="D4" s="10">
        <v>46217</v>
      </c>
      <c r="E4" s="10">
        <v>46218</v>
      </c>
      <c r="F4" s="10">
        <v>46219</v>
      </c>
      <c r="G4" s="10">
        <v>46220</v>
      </c>
      <c r="H4" s="10">
        <v>46223</v>
      </c>
      <c r="I4" s="10">
        <v>46224</v>
      </c>
      <c r="J4" s="10">
        <v>46225</v>
      </c>
      <c r="K4" s="10">
        <v>46226</v>
      </c>
      <c r="L4" s="10">
        <v>46227</v>
      </c>
      <c r="M4" s="10">
        <v>46230</v>
      </c>
    </row>
    <row r="5" spans="1:13">
      <c r="A5" s="5" t="str">
        <f>"Marie Dubois"</f>
        <v>Marie Dubois</v>
      </c>
      <c r="B5" s="5">
        <f t="shared" ref="B5:B10" si="0">8</f>
        <v>8</v>
      </c>
      <c r="C5" s="8">
        <f>SUMIFS(Planning_Diario!$V$5:$V$234,Planning_Diario!$K$5:$K$234,$A5,Planning_Diario!$B$5:$B$234,C$4)</f>
        <v>10.3</v>
      </c>
      <c r="D5" s="8">
        <f>SUMIFS(Planning_Diario!$V$5:$V$234,Planning_Diario!$K$5:$K$234,$A5,Planning_Diario!$B$5:$B$234,D$4)</f>
        <v>8.04</v>
      </c>
      <c r="E5" s="8">
        <f>SUMIFS(Planning_Diario!$V$5:$V$234,Planning_Diario!$K$5:$K$234,$A5,Planning_Diario!$B$5:$B$234,E$4)</f>
        <v>6.16</v>
      </c>
      <c r="F5" s="8">
        <f>SUMIFS(Planning_Diario!$V$5:$V$234,Planning_Diario!$K$5:$K$234,$A5,Planning_Diario!$B$5:$B$234,F$4)</f>
        <v>11.28</v>
      </c>
      <c r="G5" s="8">
        <f>SUMIFS(Planning_Diario!$V$5:$V$234,Planning_Diario!$K$5:$K$234,$A5,Planning_Diario!$B$5:$B$234,G$4)</f>
        <v>10.72</v>
      </c>
      <c r="H5" s="8">
        <f>SUMIFS(Planning_Diario!$V$5:$V$234,Planning_Diario!$K$5:$K$234,$A5,Planning_Diario!$B$5:$B$234,H$4)</f>
        <v>10.61</v>
      </c>
      <c r="I5" s="8">
        <f>SUMIFS(Planning_Diario!$V$5:$V$234,Planning_Diario!$K$5:$K$234,$A5,Planning_Diario!$B$5:$B$234,I$4)</f>
        <v>10.49</v>
      </c>
      <c r="J5" s="8">
        <f>SUMIFS(Planning_Diario!$V$5:$V$234,Planning_Diario!$K$5:$K$234,$A5,Planning_Diario!$B$5:$B$234,J$4)</f>
        <v>6.71</v>
      </c>
      <c r="K5" s="8">
        <f>SUMIFS(Planning_Diario!$V$5:$V$234,Planning_Diario!$K$5:$K$234,$A5,Planning_Diario!$B$5:$B$234,K$4)</f>
        <v>11.77</v>
      </c>
      <c r="L5" s="8">
        <f>SUMIFS(Planning_Diario!$V$5:$V$234,Planning_Diario!$K$5:$K$234,$A5,Planning_Diario!$B$5:$B$234,L$4)</f>
        <v>9.88</v>
      </c>
      <c r="M5" s="8">
        <f>SUMIFS(Planning_Diario!$V$5:$V$234,Planning_Diario!$K$5:$K$234,$A5,Planning_Diario!$B$5:$B$234,M$4)</f>
        <v>12.93</v>
      </c>
    </row>
    <row r="6" spans="1:13">
      <c r="A6" s="5" t="str">
        <f>"Anne Peeters"</f>
        <v>Anne Peeters</v>
      </c>
      <c r="B6" s="5">
        <f t="shared" si="0"/>
        <v>8</v>
      </c>
      <c r="C6" s="8">
        <f>SUMIFS(Planning_Diario!$V$5:$V$234,Planning_Diario!$K$5:$K$234,$A6,Planning_Diario!$B$5:$B$234,C$4)</f>
        <v>6.83</v>
      </c>
      <c r="D6" s="8">
        <f>SUMIFS(Planning_Diario!$V$5:$V$234,Planning_Diario!$K$5:$K$234,$A6,Planning_Diario!$B$5:$B$234,D$4)</f>
        <v>9.14</v>
      </c>
      <c r="E6" s="8">
        <f>SUMIFS(Planning_Diario!$V$5:$V$234,Planning_Diario!$K$5:$K$234,$A6,Planning_Diario!$B$5:$B$234,E$4)</f>
        <v>2.13</v>
      </c>
      <c r="F6" s="8">
        <f>SUMIFS(Planning_Diario!$V$5:$V$234,Planning_Diario!$K$5:$K$234,$A6,Planning_Diario!$B$5:$B$234,F$4)</f>
        <v>6.89</v>
      </c>
      <c r="G6" s="8">
        <f>SUMIFS(Planning_Diario!$V$5:$V$234,Planning_Diario!$K$5:$K$234,$A6,Planning_Diario!$B$5:$B$234,G$4)</f>
        <v>11.53</v>
      </c>
      <c r="H6" s="8">
        <f>SUMIFS(Planning_Diario!$V$5:$V$234,Planning_Diario!$K$5:$K$234,$A6,Planning_Diario!$B$5:$B$234,H$4)</f>
        <v>11.04</v>
      </c>
      <c r="I6" s="8">
        <f>SUMIFS(Planning_Diario!$V$5:$V$234,Planning_Diario!$K$5:$K$234,$A6,Planning_Diario!$B$5:$B$234,I$4)</f>
        <v>8.65</v>
      </c>
      <c r="J6" s="8">
        <f>SUMIFS(Planning_Diario!$V$5:$V$234,Planning_Diario!$K$5:$K$234,$A6,Planning_Diario!$B$5:$B$234,J$4)</f>
        <v>6.53</v>
      </c>
      <c r="K6" s="8">
        <f>SUMIFS(Planning_Diario!$V$5:$V$234,Planning_Diario!$K$5:$K$234,$A6,Planning_Diario!$B$5:$B$234,K$4)</f>
        <v>9.14</v>
      </c>
      <c r="L6" s="8">
        <f>SUMIFS(Planning_Diario!$V$5:$V$234,Planning_Diario!$K$5:$K$234,$A6,Planning_Diario!$B$5:$B$234,L$4)</f>
        <v>9.99</v>
      </c>
      <c r="M6" s="8">
        <f>SUMIFS(Planning_Diario!$V$5:$V$234,Planning_Diario!$K$5:$K$234,$A6,Planning_Diario!$B$5:$B$234,M$4)</f>
        <v>11.83</v>
      </c>
    </row>
    <row r="7" spans="1:13">
      <c r="A7" s="5" t="str">
        <f>"Sophie Janssens"</f>
        <v>Sophie Janssens</v>
      </c>
      <c r="B7" s="5">
        <f t="shared" si="0"/>
        <v>8</v>
      </c>
      <c r="C7" s="8">
        <f>SUMIFS(Planning_Diario!$V$5:$V$234,Planning_Diario!$K$5:$K$234,$A7,Planning_Diario!$B$5:$B$234,C$4)</f>
        <v>11.1</v>
      </c>
      <c r="D7" s="8">
        <f>SUMIFS(Planning_Diario!$V$5:$V$234,Planning_Diario!$K$5:$K$234,$A7,Planning_Diario!$B$5:$B$234,D$4)</f>
        <v>9.02</v>
      </c>
      <c r="E7" s="8">
        <f>SUMIFS(Planning_Diario!$V$5:$V$234,Planning_Diario!$K$5:$K$234,$A7,Planning_Diario!$B$5:$B$234,E$4)</f>
        <v>5.55</v>
      </c>
      <c r="F7" s="8">
        <f>SUMIFS(Planning_Diario!$V$5:$V$234,Planning_Diario!$K$5:$K$234,$A7,Planning_Diario!$B$5:$B$234,F$4)</f>
        <v>11.04</v>
      </c>
      <c r="G7" s="8">
        <f>SUMIFS(Planning_Diario!$V$5:$V$234,Planning_Diario!$K$5:$K$234,$A7,Planning_Diario!$B$5:$B$234,G$4)</f>
        <v>6.88</v>
      </c>
      <c r="H7" s="8">
        <f>SUMIFS(Planning_Diario!$V$5:$V$234,Planning_Diario!$K$5:$K$234,$A7,Planning_Diario!$B$5:$B$234,H$4)</f>
        <v>10.24</v>
      </c>
      <c r="I7" s="8">
        <f>SUMIFS(Planning_Diario!$V$5:$V$234,Planning_Diario!$K$5:$K$234,$A7,Planning_Diario!$B$5:$B$234,I$4)</f>
        <v>11.1</v>
      </c>
      <c r="J7" s="8">
        <f>SUMIFS(Planning_Diario!$V$5:$V$234,Planning_Diario!$K$5:$K$234,$A7,Planning_Diario!$B$5:$B$234,J$4)</f>
        <v>11.04</v>
      </c>
      <c r="K7" s="8">
        <f>SUMIFS(Planning_Diario!$V$5:$V$234,Planning_Diario!$K$5:$K$234,$A7,Planning_Diario!$B$5:$B$234,K$4)</f>
        <v>9.01</v>
      </c>
      <c r="L7" s="8">
        <f>SUMIFS(Planning_Diario!$V$5:$V$234,Planning_Diario!$K$5:$K$234,$A7,Planning_Diario!$B$5:$B$234,L$4)</f>
        <v>13.23</v>
      </c>
      <c r="M7" s="8">
        <f>SUMIFS(Planning_Diario!$V$5:$V$234,Planning_Diario!$K$5:$K$234,$A7,Planning_Diario!$B$5:$B$234,M$4)</f>
        <v>14.64</v>
      </c>
    </row>
    <row r="8" spans="1:13">
      <c r="A8" s="5" t="str">
        <f>"Jan Peeters"</f>
        <v>Jan Peeters</v>
      </c>
      <c r="B8" s="5">
        <f t="shared" si="0"/>
        <v>8</v>
      </c>
      <c r="C8" s="8">
        <f>SUMIFS(Planning_Diario!$V$5:$V$234,Planning_Diario!$K$5:$K$234,$A8,Planning_Diario!$B$5:$B$234,C$4)</f>
        <v>6.53</v>
      </c>
      <c r="D8" s="8">
        <f>SUMIFS(Planning_Diario!$V$5:$V$234,Planning_Diario!$K$5:$K$234,$A8,Planning_Diario!$B$5:$B$234,D$4)</f>
        <v>7.92</v>
      </c>
      <c r="E8" s="8">
        <f>SUMIFS(Planning_Diario!$V$5:$V$234,Planning_Diario!$K$5:$K$234,$A8,Planning_Diario!$B$5:$B$234,E$4)</f>
        <v>2.87</v>
      </c>
      <c r="F8" s="8">
        <f>SUMIFS(Planning_Diario!$V$5:$V$234,Planning_Diario!$K$5:$K$234,$A8,Planning_Diario!$B$5:$B$234,F$4)</f>
        <v>6.58</v>
      </c>
      <c r="G8" s="8">
        <f>SUMIFS(Planning_Diario!$V$5:$V$234,Planning_Diario!$K$5:$K$234,$A8,Planning_Diario!$B$5:$B$234,G$4)</f>
        <v>6.82</v>
      </c>
      <c r="H8" s="8">
        <f>SUMIFS(Planning_Diario!$V$5:$V$234,Planning_Diario!$K$5:$K$234,$A8,Planning_Diario!$B$5:$B$234,H$4)</f>
        <v>7.86</v>
      </c>
      <c r="I8" s="8">
        <f>SUMIFS(Planning_Diario!$V$5:$V$234,Planning_Diario!$K$5:$K$234,$A8,Planning_Diario!$B$5:$B$234,I$4)</f>
        <v>11.03</v>
      </c>
      <c r="J8" s="8">
        <f>SUMIFS(Planning_Diario!$V$5:$V$234,Planning_Diario!$K$5:$K$234,$A8,Planning_Diario!$B$5:$B$234,J$4)</f>
        <v>7.68</v>
      </c>
      <c r="K8" s="8">
        <f>SUMIFS(Planning_Diario!$V$5:$V$234,Planning_Diario!$K$5:$K$234,$A8,Planning_Diario!$B$5:$B$234,K$4)</f>
        <v>9.68</v>
      </c>
      <c r="L8" s="8">
        <f>SUMIFS(Planning_Diario!$V$5:$V$234,Planning_Diario!$K$5:$K$234,$A8,Planning_Diario!$B$5:$B$234,L$4)</f>
        <v>10.8</v>
      </c>
      <c r="M8" s="8">
        <f>SUMIFS(Planning_Diario!$V$5:$V$234,Planning_Diario!$K$5:$K$234,$A8,Planning_Diario!$B$5:$B$234,M$4)</f>
        <v>12.01</v>
      </c>
    </row>
    <row r="9" spans="1:13">
      <c r="A9" s="5" t="str">
        <f>"Pierre Dubois"</f>
        <v>Pierre Dubois</v>
      </c>
      <c r="B9" s="5">
        <f t="shared" si="0"/>
        <v>8</v>
      </c>
      <c r="C9" s="8">
        <f>SUMIFS(Planning_Diario!$V$5:$V$234,Planning_Diario!$K$5:$K$234,$A9,Planning_Diario!$B$5:$B$234,C$4)</f>
        <v>6.64</v>
      </c>
      <c r="D9" s="8">
        <f>SUMIFS(Planning_Diario!$V$5:$V$234,Planning_Diario!$K$5:$K$234,$A9,Planning_Diario!$B$5:$B$234,D$4)</f>
        <v>8.05</v>
      </c>
      <c r="E9" s="8">
        <f>SUMIFS(Planning_Diario!$V$5:$V$234,Planning_Diario!$K$5:$K$234,$A9,Planning_Diario!$B$5:$B$234,E$4)</f>
        <v>2.68</v>
      </c>
      <c r="F9" s="8">
        <f>SUMIFS(Planning_Diario!$V$5:$V$234,Planning_Diario!$K$5:$K$234,$A9,Planning_Diario!$B$5:$B$234,F$4)</f>
        <v>11.4</v>
      </c>
      <c r="G9" s="8">
        <f>SUMIFS(Planning_Diario!$V$5:$V$234,Planning_Diario!$K$5:$K$234,$A9,Planning_Diario!$B$5:$B$234,G$4)</f>
        <v>9.02</v>
      </c>
      <c r="H9" s="8">
        <f>SUMIFS(Planning_Diario!$V$5:$V$234,Planning_Diario!$K$5:$K$234,$A9,Planning_Diario!$B$5:$B$234,H$4)</f>
        <v>7.62</v>
      </c>
      <c r="I9" s="8">
        <f>SUMIFS(Planning_Diario!$V$5:$V$234,Planning_Diario!$K$5:$K$234,$A9,Planning_Diario!$B$5:$B$234,I$4)</f>
        <v>12.86</v>
      </c>
      <c r="J9" s="8">
        <f>SUMIFS(Planning_Diario!$V$5:$V$234,Planning_Diario!$K$5:$K$234,$A9,Planning_Diario!$B$5:$B$234,J$4)</f>
        <v>6.2</v>
      </c>
      <c r="K9" s="8">
        <f>SUMIFS(Planning_Diario!$V$5:$V$234,Planning_Diario!$K$5:$K$234,$A9,Planning_Diario!$B$5:$B$234,K$4)</f>
        <v>10.12</v>
      </c>
      <c r="L9" s="8">
        <f>SUMIFS(Planning_Diario!$V$5:$V$234,Planning_Diario!$K$5:$K$234,$A9,Planning_Diario!$B$5:$B$234,L$4)</f>
        <v>12.01</v>
      </c>
      <c r="M9" s="8">
        <f>SUMIFS(Planning_Diario!$V$5:$V$234,Planning_Diario!$K$5:$K$234,$A9,Planning_Diario!$B$5:$B$234,M$4)</f>
        <v>12.26</v>
      </c>
    </row>
    <row r="10" spans="1:13">
      <c r="A10" s="5" t="str">
        <f>"Willem Janssens"</f>
        <v>Willem Janssens</v>
      </c>
      <c r="B10" s="5">
        <f t="shared" si="0"/>
        <v>8</v>
      </c>
      <c r="C10" s="8">
        <f>SUMIFS(Planning_Diario!$V$5:$V$234,Planning_Diario!$K$5:$K$234,$A10,Planning_Diario!$B$5:$B$234,C$4)</f>
        <v>11.59</v>
      </c>
      <c r="D10" s="8">
        <f>SUMIFS(Planning_Diario!$V$5:$V$234,Planning_Diario!$K$5:$K$234,$A10,Planning_Diario!$B$5:$B$234,D$4)</f>
        <v>12.31</v>
      </c>
      <c r="E10" s="8">
        <f>SUMIFS(Planning_Diario!$V$5:$V$234,Planning_Diario!$K$5:$K$234,$A10,Planning_Diario!$B$5:$B$234,E$4)</f>
        <v>4.76</v>
      </c>
      <c r="F10" s="8">
        <f>SUMIFS(Planning_Diario!$V$5:$V$234,Planning_Diario!$K$5:$K$234,$A10,Planning_Diario!$B$5:$B$234,F$4)</f>
        <v>9.51</v>
      </c>
      <c r="G10" s="8">
        <f>SUMIFS(Planning_Diario!$V$5:$V$234,Planning_Diario!$K$5:$K$234,$A10,Planning_Diario!$B$5:$B$234,G$4)</f>
        <v>7.14</v>
      </c>
      <c r="H10" s="8">
        <f>SUMIFS(Planning_Diario!$V$5:$V$234,Planning_Diario!$K$5:$K$234,$A10,Planning_Diario!$B$5:$B$234,H$4)</f>
        <v>12.2</v>
      </c>
      <c r="I10" s="8">
        <f>SUMIFS(Planning_Diario!$V$5:$V$234,Planning_Diario!$K$5:$K$234,$A10,Planning_Diario!$B$5:$B$234,I$4)</f>
        <v>9.02</v>
      </c>
      <c r="J10" s="8">
        <f>SUMIFS(Planning_Diario!$V$5:$V$234,Planning_Diario!$K$5:$K$234,$A10,Planning_Diario!$B$5:$B$234,J$4)</f>
        <v>10.61</v>
      </c>
      <c r="K10" s="8">
        <f>SUMIFS(Planning_Diario!$V$5:$V$234,Planning_Diario!$K$5:$K$234,$A10,Planning_Diario!$B$5:$B$234,K$4)</f>
        <v>12.8</v>
      </c>
      <c r="L10" s="8">
        <f>SUMIFS(Planning_Diario!$V$5:$V$234,Planning_Diario!$K$5:$K$234,$A10,Planning_Diario!$B$5:$B$234,L$4)</f>
        <v>13.16</v>
      </c>
      <c r="M10" s="8">
        <f>SUMIFS(Planning_Diario!$V$5:$V$234,Planning_Diario!$K$5:$K$234,$A10,Planning_Diario!$B$5:$B$234,M$4)</f>
        <v>14.27</v>
      </c>
    </row>
    <row r="11" spans="1:13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>
      <c r="A12" t="s">
        <v>791</v>
      </c>
      <c r="B12">
        <v>48</v>
      </c>
      <c r="C12" s="11">
        <f t="shared" ref="C12:M12" si="1">SUM(C5:C10)</f>
        <v>52.99</v>
      </c>
      <c r="D12" s="11">
        <f t="shared" si="1"/>
        <v>54.48</v>
      </c>
      <c r="E12" s="11">
        <f t="shared" si="1"/>
        <v>24.15</v>
      </c>
      <c r="F12" s="11">
        <f t="shared" si="1"/>
        <v>56.7</v>
      </c>
      <c r="G12" s="11">
        <f t="shared" si="1"/>
        <v>52.11</v>
      </c>
      <c r="H12" s="11">
        <f t="shared" si="1"/>
        <v>59.57</v>
      </c>
      <c r="I12" s="11">
        <f t="shared" si="1"/>
        <v>63.15</v>
      </c>
      <c r="J12" s="11">
        <f t="shared" si="1"/>
        <v>48.77</v>
      </c>
      <c r="K12" s="11">
        <f t="shared" si="1"/>
        <v>62.52</v>
      </c>
      <c r="L12" s="11">
        <f t="shared" si="1"/>
        <v>69.07</v>
      </c>
      <c r="M12" s="11">
        <f t="shared" si="1"/>
        <v>77.94</v>
      </c>
    </row>
    <row r="14" spans="1:13">
      <c r="A14" t="s">
        <v>792</v>
      </c>
      <c r="B14">
        <v>48</v>
      </c>
      <c r="C14" s="12">
        <f t="shared" ref="C14:M14" si="2">C12/48</f>
        <v>1.10395833333333</v>
      </c>
      <c r="D14" s="12">
        <f t="shared" si="2"/>
        <v>1.135</v>
      </c>
      <c r="E14" s="12">
        <f t="shared" si="2"/>
        <v>0.503125</v>
      </c>
      <c r="F14" s="12">
        <f t="shared" si="2"/>
        <v>1.18125</v>
      </c>
      <c r="G14" s="12">
        <f t="shared" si="2"/>
        <v>1.085625</v>
      </c>
      <c r="H14" s="12">
        <f t="shared" si="2"/>
        <v>1.24104166666667</v>
      </c>
      <c r="I14" s="12">
        <f t="shared" si="2"/>
        <v>1.315625</v>
      </c>
      <c r="J14" s="12">
        <f t="shared" si="2"/>
        <v>1.01604166666667</v>
      </c>
      <c r="K14" s="12">
        <f t="shared" si="2"/>
        <v>1.3025</v>
      </c>
      <c r="L14" s="12">
        <f t="shared" si="2"/>
        <v>1.43895833333333</v>
      </c>
      <c r="M14" s="12">
        <f t="shared" si="2"/>
        <v>1.62375</v>
      </c>
    </row>
  </sheetData>
  <mergeCells count="1">
    <mergeCell ref="A1:M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D19" sqref="D19"/>
    </sheetView>
  </sheetViews>
  <sheetFormatPr defaultColWidth="9" defaultRowHeight="13.8"/>
  <cols>
    <col min="1" max="10" width="18" customWidth="1"/>
  </cols>
  <sheetData>
    <row r="1" spans="1:10">
      <c r="A1" s="1" t="s">
        <v>793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4" ht="27.6" spans="1:10">
      <c r="A4" s="6" t="s">
        <v>15</v>
      </c>
      <c r="B4" s="6" t="s">
        <v>794</v>
      </c>
      <c r="C4" s="6" t="s">
        <v>795</v>
      </c>
      <c r="D4" s="6" t="s">
        <v>796</v>
      </c>
      <c r="E4" s="6" t="s">
        <v>797</v>
      </c>
      <c r="F4" s="6" t="s">
        <v>37</v>
      </c>
      <c r="G4" s="6" t="s">
        <v>798</v>
      </c>
      <c r="H4" s="6" t="s">
        <v>799</v>
      </c>
      <c r="I4" s="6" t="s">
        <v>39</v>
      </c>
      <c r="J4" s="6" t="s">
        <v>800</v>
      </c>
    </row>
    <row r="5" spans="1:10">
      <c r="A5" s="7">
        <v>46216</v>
      </c>
      <c r="B5" s="8">
        <f t="shared" ref="B5:B15" si="0">48</f>
        <v>48</v>
      </c>
      <c r="C5" s="8">
        <f t="shared" ref="C5:C15" si="1">B5*15%</f>
        <v>7.2</v>
      </c>
      <c r="D5" s="8">
        <f t="shared" ref="D5:D15" si="2">B5-C5</f>
        <v>40.8</v>
      </c>
      <c r="E5" s="8">
        <f>SUMIFS(Planning_Diario!$V$5:$V$234,Planning_Diario!$B$5:$B$234,A5)</f>
        <v>52.99</v>
      </c>
      <c r="F5" s="8">
        <f>SUMIFS(Planning_Diario!$X$5:$X$234,Planning_Diario!$B$5:$B$234,A5)</f>
        <v>11.03</v>
      </c>
      <c r="G5" s="8">
        <f t="shared" ref="G5:G15" si="3">B5+F5</f>
        <v>59.03</v>
      </c>
      <c r="H5" s="8">
        <f t="shared" ref="H5:H15" si="4">MAX(0,G5-E5)</f>
        <v>6.03999999999999</v>
      </c>
      <c r="I5" s="9">
        <f t="shared" ref="I5:I15" si="5">E5/G5</f>
        <v>0.897679146196849</v>
      </c>
      <c r="J5" s="5" t="str">
        <f t="shared" ref="J5:J15" si="6">IF(I5&gt;1,"SOBRECARGA",IF(I5&gt;0.85,"ALTA",IF(I5&gt;0.6,"MEDIA","BAJA")))</f>
        <v>ALTA</v>
      </c>
    </row>
    <row r="6" spans="1:10">
      <c r="A6" s="7">
        <v>46217</v>
      </c>
      <c r="B6" s="8">
        <f t="shared" si="0"/>
        <v>48</v>
      </c>
      <c r="C6" s="8">
        <f t="shared" si="1"/>
        <v>7.2</v>
      </c>
      <c r="D6" s="8">
        <f t="shared" si="2"/>
        <v>40.8</v>
      </c>
      <c r="E6" s="8">
        <f>SUMIFS(Planning_Diario!$V$5:$V$234,Planning_Diario!$B$5:$B$234,A6)</f>
        <v>54.48</v>
      </c>
      <c r="F6" s="8">
        <f>SUMIFS(Planning_Diario!$X$5:$X$234,Planning_Diario!$B$5:$B$234,A6)</f>
        <v>10.26</v>
      </c>
      <c r="G6" s="8">
        <f t="shared" si="3"/>
        <v>58.26</v>
      </c>
      <c r="H6" s="8">
        <f t="shared" si="4"/>
        <v>3.77999999999999</v>
      </c>
      <c r="I6" s="9">
        <f t="shared" si="5"/>
        <v>0.935118434603502</v>
      </c>
      <c r="J6" s="5" t="str">
        <f t="shared" si="6"/>
        <v>ALTA</v>
      </c>
    </row>
    <row r="7" spans="1:10">
      <c r="A7" s="7">
        <v>46218</v>
      </c>
      <c r="B7" s="8">
        <f t="shared" si="0"/>
        <v>48</v>
      </c>
      <c r="C7" s="8">
        <f t="shared" si="1"/>
        <v>7.2</v>
      </c>
      <c r="D7" s="8">
        <f t="shared" si="2"/>
        <v>40.8</v>
      </c>
      <c r="E7" s="8">
        <f>SUMIFS(Planning_Diario!$V$5:$V$234,Planning_Diario!$B$5:$B$234,A7)</f>
        <v>24.15</v>
      </c>
      <c r="F7" s="8">
        <f>SUMIFS(Planning_Diario!$X$5:$X$234,Planning_Diario!$B$5:$B$234,A7)</f>
        <v>8.52</v>
      </c>
      <c r="G7" s="8">
        <f t="shared" si="3"/>
        <v>56.52</v>
      </c>
      <c r="H7" s="8">
        <f t="shared" si="4"/>
        <v>32.37</v>
      </c>
      <c r="I7" s="9">
        <f t="shared" si="5"/>
        <v>0.427282377919321</v>
      </c>
      <c r="J7" s="5" t="str">
        <f t="shared" si="6"/>
        <v>BAJA</v>
      </c>
    </row>
    <row r="8" spans="1:10">
      <c r="A8" s="7">
        <v>46219</v>
      </c>
      <c r="B8" s="8">
        <f t="shared" si="0"/>
        <v>48</v>
      </c>
      <c r="C8" s="8">
        <f t="shared" si="1"/>
        <v>7.2</v>
      </c>
      <c r="D8" s="8">
        <f t="shared" si="2"/>
        <v>40.8</v>
      </c>
      <c r="E8" s="8">
        <f>SUMIFS(Planning_Diario!$V$5:$V$234,Planning_Diario!$B$5:$B$234,A8)</f>
        <v>56.7</v>
      </c>
      <c r="F8" s="8">
        <f>SUMIFS(Planning_Diario!$X$5:$X$234,Planning_Diario!$B$5:$B$234,A8)</f>
        <v>4.04</v>
      </c>
      <c r="G8" s="8">
        <f t="shared" si="3"/>
        <v>52.04</v>
      </c>
      <c r="H8" s="8">
        <f t="shared" si="4"/>
        <v>0</v>
      </c>
      <c r="I8" s="9">
        <f t="shared" si="5"/>
        <v>1.08954650269024</v>
      </c>
      <c r="J8" s="5" t="str">
        <f t="shared" si="6"/>
        <v>SOBRECARGA</v>
      </c>
    </row>
    <row r="9" spans="1:10">
      <c r="A9" s="7">
        <v>46220</v>
      </c>
      <c r="B9" s="8">
        <f t="shared" si="0"/>
        <v>48</v>
      </c>
      <c r="C9" s="8">
        <f t="shared" si="1"/>
        <v>7.2</v>
      </c>
      <c r="D9" s="8">
        <f t="shared" si="2"/>
        <v>40.8</v>
      </c>
      <c r="E9" s="8">
        <f>SUMIFS(Planning_Diario!$V$5:$V$234,Planning_Diario!$B$5:$B$234,A9)</f>
        <v>52.11</v>
      </c>
      <c r="F9" s="8">
        <f>SUMIFS(Planning_Diario!$X$5:$X$234,Planning_Diario!$B$5:$B$234,A9)</f>
        <v>11.3</v>
      </c>
      <c r="G9" s="8">
        <f t="shared" si="3"/>
        <v>59.3</v>
      </c>
      <c r="H9" s="8">
        <f t="shared" si="4"/>
        <v>7.18999999999999</v>
      </c>
      <c r="I9" s="9">
        <f t="shared" si="5"/>
        <v>0.878752107925801</v>
      </c>
      <c r="J9" s="5" t="str">
        <f t="shared" si="6"/>
        <v>ALTA</v>
      </c>
    </row>
    <row r="10" spans="1:10">
      <c r="A10" s="7">
        <v>46223</v>
      </c>
      <c r="B10" s="8">
        <f t="shared" si="0"/>
        <v>48</v>
      </c>
      <c r="C10" s="8">
        <f t="shared" si="1"/>
        <v>7.2</v>
      </c>
      <c r="D10" s="8">
        <f t="shared" si="2"/>
        <v>40.8</v>
      </c>
      <c r="E10" s="8">
        <f>SUMIFS(Planning_Diario!$V$5:$V$234,Planning_Diario!$B$5:$B$234,A10)</f>
        <v>59.57</v>
      </c>
      <c r="F10" s="8">
        <f>SUMIFS(Planning_Diario!$X$5:$X$234,Planning_Diario!$B$5:$B$234,A10)</f>
        <v>12.37</v>
      </c>
      <c r="G10" s="8">
        <f t="shared" si="3"/>
        <v>60.37</v>
      </c>
      <c r="H10" s="8">
        <f t="shared" si="4"/>
        <v>0.79999999999999</v>
      </c>
      <c r="I10" s="9">
        <f t="shared" si="5"/>
        <v>0.986748384959417</v>
      </c>
      <c r="J10" s="5" t="str">
        <f t="shared" si="6"/>
        <v>ALTA</v>
      </c>
    </row>
    <row r="11" spans="1:10">
      <c r="A11" s="7">
        <v>46224</v>
      </c>
      <c r="B11" s="8">
        <f t="shared" si="0"/>
        <v>48</v>
      </c>
      <c r="C11" s="8">
        <f t="shared" si="1"/>
        <v>7.2</v>
      </c>
      <c r="D11" s="8">
        <f t="shared" si="2"/>
        <v>40.8</v>
      </c>
      <c r="E11" s="8">
        <f>SUMIFS(Planning_Diario!$V$5:$V$234,Planning_Diario!$B$5:$B$234,A11)</f>
        <v>63.15</v>
      </c>
      <c r="F11" s="8">
        <f>SUMIFS(Planning_Diario!$X$5:$X$234,Planning_Diario!$B$5:$B$234,A11)</f>
        <v>3.52</v>
      </c>
      <c r="G11" s="8">
        <f t="shared" si="3"/>
        <v>51.52</v>
      </c>
      <c r="H11" s="8">
        <f t="shared" si="4"/>
        <v>0</v>
      </c>
      <c r="I11" s="9">
        <f t="shared" si="5"/>
        <v>1.22573757763975</v>
      </c>
      <c r="J11" s="5" t="str">
        <f t="shared" si="6"/>
        <v>SOBRECARGA</v>
      </c>
    </row>
    <row r="12" spans="1:10">
      <c r="A12" s="7">
        <v>46225</v>
      </c>
      <c r="B12" s="8">
        <f t="shared" si="0"/>
        <v>48</v>
      </c>
      <c r="C12" s="8">
        <f t="shared" si="1"/>
        <v>7.2</v>
      </c>
      <c r="D12" s="8">
        <f t="shared" si="2"/>
        <v>40.8</v>
      </c>
      <c r="E12" s="8">
        <f>SUMIFS(Planning_Diario!$V$5:$V$234,Planning_Diario!$B$5:$B$234,A12)</f>
        <v>48.77</v>
      </c>
      <c r="F12" s="8">
        <f>SUMIFS(Planning_Diario!$X$5:$X$234,Planning_Diario!$B$5:$B$234,A12)</f>
        <v>6.12</v>
      </c>
      <c r="G12" s="8">
        <f t="shared" si="3"/>
        <v>54.12</v>
      </c>
      <c r="H12" s="8">
        <f t="shared" si="4"/>
        <v>5.34999999999999</v>
      </c>
      <c r="I12" s="9">
        <f t="shared" si="5"/>
        <v>0.901145602365115</v>
      </c>
      <c r="J12" s="5" t="str">
        <f t="shared" si="6"/>
        <v>ALTA</v>
      </c>
    </row>
    <row r="13" spans="1:10">
      <c r="A13" s="7">
        <v>46226</v>
      </c>
      <c r="B13" s="8">
        <f t="shared" si="0"/>
        <v>48</v>
      </c>
      <c r="C13" s="8">
        <f t="shared" si="1"/>
        <v>7.2</v>
      </c>
      <c r="D13" s="8">
        <f t="shared" si="2"/>
        <v>40.8</v>
      </c>
      <c r="E13" s="8">
        <f>SUMIFS(Planning_Diario!$V$5:$V$234,Planning_Diario!$B$5:$B$234,A13)</f>
        <v>62.52</v>
      </c>
      <c r="F13" s="8">
        <f>SUMIFS(Planning_Diario!$X$5:$X$234,Planning_Diario!$B$5:$B$234,A13)</f>
        <v>10.53</v>
      </c>
      <c r="G13" s="8">
        <f t="shared" si="3"/>
        <v>58.53</v>
      </c>
      <c r="H13" s="8">
        <f t="shared" si="4"/>
        <v>0</v>
      </c>
      <c r="I13" s="9">
        <f t="shared" si="5"/>
        <v>1.06817016914403</v>
      </c>
      <c r="J13" s="5" t="str">
        <f t="shared" si="6"/>
        <v>SOBRECARGA</v>
      </c>
    </row>
    <row r="14" spans="1:10">
      <c r="A14" s="7">
        <v>46227</v>
      </c>
      <c r="B14" s="8">
        <f t="shared" si="0"/>
        <v>48</v>
      </c>
      <c r="C14" s="8">
        <f t="shared" si="1"/>
        <v>7.2</v>
      </c>
      <c r="D14" s="8">
        <f t="shared" si="2"/>
        <v>40.8</v>
      </c>
      <c r="E14" s="8">
        <f>SUMIFS(Planning_Diario!$V$5:$V$234,Planning_Diario!$B$5:$B$234,A14)</f>
        <v>69.07</v>
      </c>
      <c r="F14" s="8">
        <f>SUMIFS(Planning_Diario!$X$5:$X$234,Planning_Diario!$B$5:$B$234,A14)</f>
        <v>8.05</v>
      </c>
      <c r="G14" s="8">
        <f t="shared" si="3"/>
        <v>56.05</v>
      </c>
      <c r="H14" s="8">
        <f t="shared" si="4"/>
        <v>0</v>
      </c>
      <c r="I14" s="9">
        <f t="shared" si="5"/>
        <v>1.23229259589652</v>
      </c>
      <c r="J14" s="5" t="str">
        <f t="shared" si="6"/>
        <v>SOBRECARGA</v>
      </c>
    </row>
    <row r="15" spans="1:10">
      <c r="A15" s="7">
        <v>46230</v>
      </c>
      <c r="B15" s="8">
        <f t="shared" si="0"/>
        <v>48</v>
      </c>
      <c r="C15" s="8">
        <f t="shared" si="1"/>
        <v>7.2</v>
      </c>
      <c r="D15" s="8">
        <f t="shared" si="2"/>
        <v>40.8</v>
      </c>
      <c r="E15" s="8">
        <f>SUMIFS(Planning_Diario!$V$5:$V$234,Planning_Diario!$B$5:$B$234,A15)</f>
        <v>77.94</v>
      </c>
      <c r="F15" s="8">
        <f>SUMIFS(Planning_Diario!$X$5:$X$234,Planning_Diario!$B$5:$B$234,A15)</f>
        <v>5.88</v>
      </c>
      <c r="G15" s="8">
        <f t="shared" si="3"/>
        <v>53.88</v>
      </c>
      <c r="H15" s="8">
        <f t="shared" si="4"/>
        <v>0</v>
      </c>
      <c r="I15" s="9">
        <f t="shared" si="5"/>
        <v>1.44654788418708</v>
      </c>
      <c r="J15" s="5" t="str">
        <f t="shared" si="6"/>
        <v>SOBRECARGA</v>
      </c>
    </row>
  </sheetData>
  <mergeCells count="1">
    <mergeCell ref="A1:J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D13" sqref="D13"/>
    </sheetView>
  </sheetViews>
  <sheetFormatPr defaultColWidth="9" defaultRowHeight="13.8" outlineLevelCol="7"/>
  <cols>
    <col min="1" max="2" width="28" customWidth="1"/>
    <col min="4" max="8" width="24" customWidth="1"/>
  </cols>
  <sheetData>
    <row r="1" ht="21" spans="1:8">
      <c r="A1" s="1" t="s">
        <v>801</v>
      </c>
      <c r="B1" s="1"/>
      <c r="C1" s="1"/>
      <c r="D1" s="1"/>
      <c r="E1" s="1"/>
      <c r="F1" s="1"/>
      <c r="G1" s="1"/>
      <c r="H1" s="1"/>
    </row>
    <row r="2" ht="21" spans="1:8">
      <c r="A2" s="2"/>
      <c r="B2" s="2"/>
      <c r="C2" s="2"/>
      <c r="D2" s="2"/>
      <c r="E2" s="2"/>
      <c r="F2" s="2"/>
      <c r="G2" s="2"/>
      <c r="H2" s="2"/>
    </row>
    <row r="4" spans="1:8">
      <c r="A4" s="3" t="s">
        <v>802</v>
      </c>
      <c r="B4" s="3" t="s">
        <v>803</v>
      </c>
      <c r="D4" s="4" t="s">
        <v>804</v>
      </c>
      <c r="E4" s="4" t="s">
        <v>805</v>
      </c>
      <c r="F4" s="4" t="s">
        <v>806</v>
      </c>
      <c r="G4" s="4" t="s">
        <v>807</v>
      </c>
      <c r="H4" s="4" t="s">
        <v>808</v>
      </c>
    </row>
    <row r="5" spans="1:8">
      <c r="A5" s="5" t="s">
        <v>809</v>
      </c>
      <c r="B5" s="5">
        <f>COUNTIF(Planning_Diario!AD5:AD234,"CONFLICTO")</f>
        <v>182</v>
      </c>
      <c r="D5" s="5" t="s">
        <v>810</v>
      </c>
      <c r="E5" s="5" t="s">
        <v>811</v>
      </c>
      <c r="F5" s="5" t="s">
        <v>812</v>
      </c>
      <c r="G5" s="5" t="s">
        <v>813</v>
      </c>
      <c r="H5" s="5" t="s">
        <v>814</v>
      </c>
    </row>
    <row r="6" spans="1:8">
      <c r="A6" s="5" t="s">
        <v>815</v>
      </c>
      <c r="B6" s="5">
        <f>COUNTIF(Planning_Diario!J5:J234,"Parada")</f>
        <v>4</v>
      </c>
      <c r="D6" s="5" t="s">
        <v>816</v>
      </c>
      <c r="E6" s="5" t="s">
        <v>817</v>
      </c>
      <c r="F6" s="5" t="s">
        <v>818</v>
      </c>
      <c r="G6" s="5" t="s">
        <v>813</v>
      </c>
      <c r="H6" s="5" t="s">
        <v>814</v>
      </c>
    </row>
    <row r="7" spans="1:8">
      <c r="A7" s="5" t="s">
        <v>819</v>
      </c>
      <c r="B7" s="5">
        <f>COUNTIF(Planning_Diario!AB5:AB234,"No")</f>
        <v>0</v>
      </c>
      <c r="D7" s="5" t="s">
        <v>297</v>
      </c>
      <c r="E7" s="5" t="s">
        <v>820</v>
      </c>
      <c r="F7" s="5" t="s">
        <v>821</v>
      </c>
      <c r="G7" s="5" t="s">
        <v>25</v>
      </c>
      <c r="H7" s="5" t="s">
        <v>55</v>
      </c>
    </row>
    <row r="8" spans="1:8">
      <c r="A8" s="5" t="s">
        <v>822</v>
      </c>
      <c r="B8" s="5">
        <f>COUNTIF(Planning_Diario!X5:X234,"&gt;0")</f>
        <v>46</v>
      </c>
      <c r="D8" s="5" t="s">
        <v>823</v>
      </c>
      <c r="E8" s="5" t="s">
        <v>824</v>
      </c>
      <c r="F8" s="5" t="s">
        <v>825</v>
      </c>
      <c r="G8" s="5" t="s">
        <v>25</v>
      </c>
      <c r="H8" s="5" t="s">
        <v>55</v>
      </c>
    </row>
    <row r="9" spans="1:8">
      <c r="A9" s="5" t="s">
        <v>826</v>
      </c>
      <c r="B9" s="5">
        <f>COUNTIF(Planning_Diario!AD5:AD234,"OK")</f>
        <v>48</v>
      </c>
      <c r="D9" s="5" t="s">
        <v>827</v>
      </c>
      <c r="E9" s="5" t="s">
        <v>828</v>
      </c>
      <c r="F9" s="5" t="s">
        <v>829</v>
      </c>
      <c r="G9" s="5" t="s">
        <v>813</v>
      </c>
      <c r="H9" s="5" t="s">
        <v>66</v>
      </c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Portada</vt:lpstr>
      <vt:lpstr>Planning_Diario</vt:lpstr>
      <vt:lpstr>Planning_Semanal</vt:lpstr>
      <vt:lpstr>Capacidad_Taller</vt:lpstr>
      <vt:lpstr>Conflictos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sif</cp:lastModifiedBy>
  <dcterms:created xsi:type="dcterms:W3CDTF">2026-07-20T10:25:06Z</dcterms:created>
  <dcterms:modified xsi:type="dcterms:W3CDTF">2026-07-20T10:29:45Z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C33A53D42D244E51BFDD9243DF640782_12</vt:lpwstr>
  </property>
  <property fmtid="{D5CDD505-2E9C-101B-9397-08002B2CF9AE}" pid="3" name="KSOProductBuildVer">
    <vt:lpwstr>3082-12.1.0.26369</vt:lpwstr>
  </property>
  <property fmtid="{D5CDD505-2E9C-101B-9397-08002B2CF9AE}" pid="4" name="CalculationRule">
    <vt:i4>0</vt:i4>
  </property>
</Properties>
</file>