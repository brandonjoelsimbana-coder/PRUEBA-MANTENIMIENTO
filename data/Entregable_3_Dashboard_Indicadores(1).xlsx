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60" activeTab="2"/>
  </bookViews>
  <sheets>
    <sheet name="Base_Datos" sheetId="1" r:id="rId1"/>
    <sheet name="Resumene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<sst xmlns="http://schemas.openxmlformats.org/spreadsheetml/2006/main" count="1910" uniqueCount="286">
  <si>
    <t>OT</t>
  </si>
  <si>
    <t>Fecha</t>
  </si>
  <si>
    <t>Semana</t>
  </si>
  <si>
    <t>Técnico</t>
  </si>
  <si>
    <t>Asesor</t>
  </si>
  <si>
    <t>Estado</t>
  </si>
  <si>
    <t>Tipo vehículo</t>
  </si>
  <si>
    <t>Tipo trabajo</t>
  </si>
  <si>
    <t>Horas productivas</t>
  </si>
  <si>
    <t>Horas extra</t>
  </si>
  <si>
    <t>Costo técnico</t>
  </si>
  <si>
    <t>Costo asesor</t>
  </si>
  <si>
    <t>Costo lavado</t>
  </si>
  <si>
    <t>Costo control calidad</t>
  </si>
  <si>
    <t>Costo total</t>
  </si>
  <si>
    <t>Situación</t>
  </si>
  <si>
    <t>Cumplimiento</t>
  </si>
  <si>
    <t>OT-2026001</t>
  </si>
  <si>
    <t>Marie Dubois</t>
  </si>
  <si>
    <t>Marco Rossi</t>
  </si>
  <si>
    <t>Prevista</t>
  </si>
  <si>
    <t>SUV</t>
  </si>
  <si>
    <t>Mantenimiento 5.000 km</t>
  </si>
  <si>
    <t>Pendiente</t>
  </si>
  <si>
    <t>A tiempo</t>
  </si>
  <si>
    <t>OT-2026002</t>
  </si>
  <si>
    <t>Anne Peeters</t>
  </si>
  <si>
    <t>Giulia Bianchi</t>
  </si>
  <si>
    <t>Proyectada</t>
  </si>
  <si>
    <t>Automóvil</t>
  </si>
  <si>
    <t>Mantenimiento 10.000 km</t>
  </si>
  <si>
    <t>OT-2026003</t>
  </si>
  <si>
    <t>Sophie Janssens</t>
  </si>
  <si>
    <t>Planificada</t>
  </si>
  <si>
    <t>Terminada</t>
  </si>
  <si>
    <t>OT-2026004</t>
  </si>
  <si>
    <t>Jan Peeters</t>
  </si>
  <si>
    <t>Mantenimiento 50.000 km</t>
  </si>
  <si>
    <t>Retraso</t>
  </si>
  <si>
    <t>OT-2026005</t>
  </si>
  <si>
    <t>Pierre Dubois</t>
  </si>
  <si>
    <t>Mantenimiento 20.000 km</t>
  </si>
  <si>
    <t>OT-2026006</t>
  </si>
  <si>
    <t>Willem Janssens</t>
  </si>
  <si>
    <t>En desarrollo</t>
  </si>
  <si>
    <t>Mantenimiento 30.000 km</t>
  </si>
  <si>
    <t>OT-2026007</t>
  </si>
  <si>
    <t>OT-2026008</t>
  </si>
  <si>
    <t>OT-2026009</t>
  </si>
  <si>
    <t>OT-2026010</t>
  </si>
  <si>
    <t>Camioneta</t>
  </si>
  <si>
    <t>OT-2026011</t>
  </si>
  <si>
    <t>OT-2026012</t>
  </si>
  <si>
    <t>OT-2026013</t>
  </si>
  <si>
    <t>OT-2026014</t>
  </si>
  <si>
    <t>OT-2026015</t>
  </si>
  <si>
    <t>OT-2026016</t>
  </si>
  <si>
    <t>OT-2026017</t>
  </si>
  <si>
    <t>OT-2026018</t>
  </si>
  <si>
    <t>OT-2026019</t>
  </si>
  <si>
    <t>OT-2026020</t>
  </si>
  <si>
    <t>OT-2026021</t>
  </si>
  <si>
    <t>OT-2026022</t>
  </si>
  <si>
    <t>OT-2026023</t>
  </si>
  <si>
    <t>Mantenimiento 40.000 km</t>
  </si>
  <si>
    <t>OT-2026024</t>
  </si>
  <si>
    <t>OT-2026025</t>
  </si>
  <si>
    <t>OT-2026026</t>
  </si>
  <si>
    <t>OT-2026027</t>
  </si>
  <si>
    <t>OT-2026028</t>
  </si>
  <si>
    <t>Monovolumen</t>
  </si>
  <si>
    <t>OT-2026029</t>
  </si>
  <si>
    <t>OT-2026030</t>
  </si>
  <si>
    <t>OT-2026031</t>
  </si>
  <si>
    <t>OT-2026032</t>
  </si>
  <si>
    <t>OT-2026033</t>
  </si>
  <si>
    <t>OT-2026034</t>
  </si>
  <si>
    <t>OT-2026035</t>
  </si>
  <si>
    <t>OT-2026036</t>
  </si>
  <si>
    <t>OT-2026037</t>
  </si>
  <si>
    <t>OT-2026038</t>
  </si>
  <si>
    <t>OT-2026039</t>
  </si>
  <si>
    <t>OT-2026040</t>
  </si>
  <si>
    <t>OT-2026041</t>
  </si>
  <si>
    <t>OT-2026042</t>
  </si>
  <si>
    <t>OT-2026043</t>
  </si>
  <si>
    <t>OT-2026044</t>
  </si>
  <si>
    <t>OT-2026045</t>
  </si>
  <si>
    <t>OT-2026046</t>
  </si>
  <si>
    <t>OT-2026047</t>
  </si>
  <si>
    <t>OT-2026048</t>
  </si>
  <si>
    <t>OT-2026049</t>
  </si>
  <si>
    <t>OT-2026050</t>
  </si>
  <si>
    <t>OT-2026051</t>
  </si>
  <si>
    <t>OT-2026052</t>
  </si>
  <si>
    <t>Parada</t>
  </si>
  <si>
    <t>OT-2026053</t>
  </si>
  <si>
    <t>OT-2026054</t>
  </si>
  <si>
    <t>OT-2026055</t>
  </si>
  <si>
    <t>OT-2026056</t>
  </si>
  <si>
    <t>OT-2026057</t>
  </si>
  <si>
    <t>OT-2026058</t>
  </si>
  <si>
    <t>OT-2026059</t>
  </si>
  <si>
    <t>OT-2026060</t>
  </si>
  <si>
    <t>OT-2026061</t>
  </si>
  <si>
    <t>OT-2026062</t>
  </si>
  <si>
    <t>OT-2026063</t>
  </si>
  <si>
    <t>OT-2026064</t>
  </si>
  <si>
    <t>OT-2026065</t>
  </si>
  <si>
    <t>OT-2026066</t>
  </si>
  <si>
    <t>OT-2026067</t>
  </si>
  <si>
    <t>OT-2026068</t>
  </si>
  <si>
    <t>OT-2026069</t>
  </si>
  <si>
    <t>OT-2026070</t>
  </si>
  <si>
    <t>OT-2026071</t>
  </si>
  <si>
    <t>OT-2026072</t>
  </si>
  <si>
    <t>OT-2026073</t>
  </si>
  <si>
    <t>OT-2026074</t>
  </si>
  <si>
    <t>OT-2026075</t>
  </si>
  <si>
    <t>OT-2026076</t>
  </si>
  <si>
    <t>OT-2026077</t>
  </si>
  <si>
    <t>OT-2026078</t>
  </si>
  <si>
    <t>OT-2026079</t>
  </si>
  <si>
    <t>OT-2026080</t>
  </si>
  <si>
    <t>OT-2026081</t>
  </si>
  <si>
    <t>OT-2026082</t>
  </si>
  <si>
    <t>OT-2026083</t>
  </si>
  <si>
    <t>OT-2026084</t>
  </si>
  <si>
    <t>OT-2026085</t>
  </si>
  <si>
    <t>OT-2026086</t>
  </si>
  <si>
    <t>OT-2026087</t>
  </si>
  <si>
    <t>OT-2026088</t>
  </si>
  <si>
    <t>OT-2026089</t>
  </si>
  <si>
    <t>OT-2026090</t>
  </si>
  <si>
    <t>OT-2026091</t>
  </si>
  <si>
    <t>OT-2026092</t>
  </si>
  <si>
    <t>OT-2026093</t>
  </si>
  <si>
    <t>OT-2026094</t>
  </si>
  <si>
    <t>OT-2026095</t>
  </si>
  <si>
    <t>OT-2026096</t>
  </si>
  <si>
    <t>OT-2026097</t>
  </si>
  <si>
    <t>OT-2026098</t>
  </si>
  <si>
    <t>OT-2026099</t>
  </si>
  <si>
    <t>OT-2026100</t>
  </si>
  <si>
    <t>OT-2026101</t>
  </si>
  <si>
    <t>OT-2026102</t>
  </si>
  <si>
    <t>OT-2026103</t>
  </si>
  <si>
    <t>OT-2026104</t>
  </si>
  <si>
    <t>OT-2026105</t>
  </si>
  <si>
    <t>OT-2026106</t>
  </si>
  <si>
    <t>OT-2026107</t>
  </si>
  <si>
    <t>OT-2026108</t>
  </si>
  <si>
    <t>OT-2026109</t>
  </si>
  <si>
    <t>OT-2026110</t>
  </si>
  <si>
    <t>OT-2026111</t>
  </si>
  <si>
    <t>OT-2026112</t>
  </si>
  <si>
    <t>OT-2026113</t>
  </si>
  <si>
    <t>OT-2026114</t>
  </si>
  <si>
    <t>OT-2026115</t>
  </si>
  <si>
    <t>OT-2026116</t>
  </si>
  <si>
    <t>OT-2026117</t>
  </si>
  <si>
    <t>OT-2026118</t>
  </si>
  <si>
    <t>OT-2026119</t>
  </si>
  <si>
    <t>OT-2026120</t>
  </si>
  <si>
    <t>OT-2026121</t>
  </si>
  <si>
    <t>OT-2026122</t>
  </si>
  <si>
    <t>OT-2026123</t>
  </si>
  <si>
    <t>OT-2026124</t>
  </si>
  <si>
    <t>OT-2026125</t>
  </si>
  <si>
    <t>OT-2026126</t>
  </si>
  <si>
    <t>OT-2026127</t>
  </si>
  <si>
    <t>OT-2026128</t>
  </si>
  <si>
    <t>OT-2026129</t>
  </si>
  <si>
    <t>OT-2026130</t>
  </si>
  <si>
    <t>OT-2026131</t>
  </si>
  <si>
    <t>OT-2026132</t>
  </si>
  <si>
    <t>OT-2026133</t>
  </si>
  <si>
    <t>OT-2026134</t>
  </si>
  <si>
    <t>OT-2026135</t>
  </si>
  <si>
    <t>OT-2026136</t>
  </si>
  <si>
    <t>OT-2026137</t>
  </si>
  <si>
    <t>OT-2026138</t>
  </si>
  <si>
    <t>OT-2026139</t>
  </si>
  <si>
    <t>OT-2026140</t>
  </si>
  <si>
    <t>OT-2026141</t>
  </si>
  <si>
    <t>OT-2026142</t>
  </si>
  <si>
    <t>OT-2026143</t>
  </si>
  <si>
    <t>OT-2026144</t>
  </si>
  <si>
    <t>OT-2026145</t>
  </si>
  <si>
    <t>OT-2026146</t>
  </si>
  <si>
    <t>OT-2026147</t>
  </si>
  <si>
    <t>OT-2026148</t>
  </si>
  <si>
    <t>OT-2026149</t>
  </si>
  <si>
    <t>OT-2026150</t>
  </si>
  <si>
    <t>OT-2026151</t>
  </si>
  <si>
    <t>OT-2026152</t>
  </si>
  <si>
    <t>OT-2026153</t>
  </si>
  <si>
    <t>OT-2026154</t>
  </si>
  <si>
    <t>OT-2026155</t>
  </si>
  <si>
    <t>OT-2026156</t>
  </si>
  <si>
    <t>OT-2026157</t>
  </si>
  <si>
    <t>OT-2026158</t>
  </si>
  <si>
    <t>OT-2026159</t>
  </si>
  <si>
    <t>OT-2026160</t>
  </si>
  <si>
    <t>OT-2026161</t>
  </si>
  <si>
    <t>OT-2026162</t>
  </si>
  <si>
    <t>OT-2026163</t>
  </si>
  <si>
    <t>OT-2026164</t>
  </si>
  <si>
    <t>OT-2026165</t>
  </si>
  <si>
    <t>OT-2026166</t>
  </si>
  <si>
    <t>OT-2026167</t>
  </si>
  <si>
    <t>OT-2026168</t>
  </si>
  <si>
    <t>OT-2026169</t>
  </si>
  <si>
    <t>OT-2026170</t>
  </si>
  <si>
    <t>OT-2026171</t>
  </si>
  <si>
    <t>OT-2026172</t>
  </si>
  <si>
    <t>OT-2026173</t>
  </si>
  <si>
    <t>OT-2026174</t>
  </si>
  <si>
    <t>OT-2026175</t>
  </si>
  <si>
    <t>OT-2026176</t>
  </si>
  <si>
    <t>OT-2026177</t>
  </si>
  <si>
    <t>OT-2026178</t>
  </si>
  <si>
    <t>OT-2026179</t>
  </si>
  <si>
    <t>OT-2026180</t>
  </si>
  <si>
    <t>OT-2026181</t>
  </si>
  <si>
    <t>OT-2026182</t>
  </si>
  <si>
    <t>OT-2026183</t>
  </si>
  <si>
    <t>OT-2026184</t>
  </si>
  <si>
    <t>OT-2026185</t>
  </si>
  <si>
    <t>OT-2026186</t>
  </si>
  <si>
    <t>OT-2026187</t>
  </si>
  <si>
    <t>OT-2026188</t>
  </si>
  <si>
    <t>OT-2026189</t>
  </si>
  <si>
    <t>OT-2026190</t>
  </si>
  <si>
    <t>OT-2026191</t>
  </si>
  <si>
    <t>OT-2026192</t>
  </si>
  <si>
    <t>OT-2026193</t>
  </si>
  <si>
    <t>OT-2026194</t>
  </si>
  <si>
    <t>OT-2026195</t>
  </si>
  <si>
    <t>OT-2026196</t>
  </si>
  <si>
    <t>OT-2026197</t>
  </si>
  <si>
    <t>OT-2026198</t>
  </si>
  <si>
    <t>OT-2026199</t>
  </si>
  <si>
    <t>OT-2026200</t>
  </si>
  <si>
    <t>OT-2026201</t>
  </si>
  <si>
    <t>OT-2026202</t>
  </si>
  <si>
    <t>OT-2026203</t>
  </si>
  <si>
    <t>OT-2026204</t>
  </si>
  <si>
    <t>OT-2026205</t>
  </si>
  <si>
    <t>OT-2026206</t>
  </si>
  <si>
    <t>OT-2026207</t>
  </si>
  <si>
    <t>OT-2026208</t>
  </si>
  <si>
    <t>OT-2026209</t>
  </si>
  <si>
    <t>OT-2026210</t>
  </si>
  <si>
    <t>OT-2026211</t>
  </si>
  <si>
    <t>OT-2026212</t>
  </si>
  <si>
    <t>OT-2026213</t>
  </si>
  <si>
    <t>OT-2026214</t>
  </si>
  <si>
    <t>OT-2026215</t>
  </si>
  <si>
    <t>OT-2026216</t>
  </si>
  <si>
    <t>OT-2026217</t>
  </si>
  <si>
    <t>OT-2026218</t>
  </si>
  <si>
    <t>OT-2026219</t>
  </si>
  <si>
    <t>OT-2026220</t>
  </si>
  <si>
    <t>OT-2026221</t>
  </si>
  <si>
    <t>OT-2026222</t>
  </si>
  <si>
    <t>OT-2026223</t>
  </si>
  <si>
    <t>OT-2026224</t>
  </si>
  <si>
    <t>OT-2026225</t>
  </si>
  <si>
    <t>OT-2026226</t>
  </si>
  <si>
    <t>OT-2026227</t>
  </si>
  <si>
    <t>OT-2026228</t>
  </si>
  <si>
    <t>OT-2026229</t>
  </si>
  <si>
    <t>OT-2026230</t>
  </si>
  <si>
    <t>Vehículos</t>
  </si>
  <si>
    <t>Utilización</t>
  </si>
  <si>
    <t>Cantidad</t>
  </si>
  <si>
    <t>Costo CC</t>
  </si>
  <si>
    <t>DASHBOARD DE INDICADORES – TALLER DOCTOR FIERROS</t>
  </si>
  <si>
    <t>Período: 13 al 27 de julio de 2026 | Datos vinculados con la hoja Base_Datos</t>
  </si>
  <si>
    <t>Vehículos atendidos</t>
  </si>
  <si>
    <t>Utilización capacidad</t>
  </si>
  <si>
    <t>Tiempo promedio/vehículo</t>
  </si>
  <si>
    <t>Horas extraordinarias</t>
  </si>
  <si>
    <t>Órdenes terminadas</t>
  </si>
  <si>
    <t>Cumplimiento a tiempo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</si>
</sst>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&quot;$&quot;#,##0.00"/>
    <numFmt numFmtId="180" formatCode="dd/mm/yyyy"/>
  </numFmts>
  <fonts count="25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b/>
      <sz val="18"/>
      <color rgb="FF1F4E78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Alignment="1">
      <alignment horizontal="center"/>
    </xf>
    <xf numFmtId="0" fontId="2" fillId="3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 vertical="center"/>
    </xf>
    <xf numFmtId="1" fontId="4" fillId="5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 vertical="center"/>
    </xf>
    <xf numFmtId="2" fontId="4" fillId="5" borderId="0" xfId="0" applyNumberFormat="1" applyFont="1" applyFill="1" applyBorder="1" applyAlignment="1">
      <alignment horizontal="center" vertical="center"/>
    </xf>
    <xf numFmtId="178" fontId="4" fillId="5" borderId="0" xfId="0" applyNumberFormat="1" applyFont="1" applyFill="1" applyBorder="1" applyAlignment="1">
      <alignment horizontal="center" vertical="center"/>
    </xf>
    <xf numFmtId="179" fontId="4" fillId="5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 wrapText="1"/>
    </xf>
    <xf numFmtId="2" fontId="0" fillId="0" borderId="0" xfId="0" applyNumberFormat="1" applyFont="1" applyFill="1" applyBorder="1"/>
    <xf numFmtId="9" fontId="0" fillId="0" borderId="0" xfId="0" applyNumberFormat="1" applyFont="1" applyFill="1" applyBorder="1"/>
    <xf numFmtId="18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179" fontId="0" fillId="0" borderId="0" xfId="0" applyNumberFormat="1" applyFont="1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Productividad por técnico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"Horas productivas"</c:f>
              <c:strCache>
                <c:ptCount val="1"/>
                <c:pt idx="0">
                  <c:v>Horas productivas</c:v>
                </c:pt>
              </c:strCache>
            </c:strRef>
          </c:tx>
          <c:invertIfNegative val="0"/>
          <c:dLbls>
            <c:delete val="1"/>
          </c:dLbls>
          <c:cat>
            <c:strRef>
              <c:f>Resumenes!$A$2:$A$7</c:f>
              <c:strCache>
                <c:ptCount val="6"/>
                <c:pt idx="0">
                  <c:v>Marie Dubois</c:v>
                </c:pt>
                <c:pt idx="1">
                  <c:v>Anne Peeters</c:v>
                </c:pt>
                <c:pt idx="2">
                  <c:v>Sophie Janssens</c:v>
                </c:pt>
                <c:pt idx="3">
                  <c:v>Jan Peeters</c:v>
                </c:pt>
                <c:pt idx="4">
                  <c:v>Pierre Dubois</c:v>
                </c:pt>
                <c:pt idx="5">
                  <c:v>Willem Janssens</c:v>
                </c:pt>
              </c:strCache>
            </c:strRef>
          </c:cat>
          <c:val>
            <c:numRef>
              <c:f>Resumenes!$B$2:$B$7</c:f>
              <c:numCache>
                <c:formatCode>0.00</c:formatCode>
                <c:ptCount val="6"/>
                <c:pt idx="0">
                  <c:v>133.4</c:v>
                </c:pt>
                <c:pt idx="1">
                  <c:v>127.82</c:v>
                </c:pt>
                <c:pt idx="2">
                  <c:v>123.94</c:v>
                </c:pt>
                <c:pt idx="3">
                  <c:v>136.11</c:v>
                </c:pt>
                <c:pt idx="4">
                  <c:v>131.4</c:v>
                </c:pt>
                <c:pt idx="5">
                  <c:v>131.22</c:v>
                </c:pt>
              </c:numCache>
            </c:numRef>
          </c:val>
        </c:ser>
        <c:ser>
          <c:idx val="1"/>
          <c:order val="1"/>
          <c:tx>
            <c:strRef>
              <c:f>"Vehículos"</c:f>
              <c:strCache>
                <c:ptCount val="1"/>
                <c:pt idx="0">
                  <c:v>Vehículos</c:v>
                </c:pt>
              </c:strCache>
            </c:strRef>
          </c:tx>
          <c:invertIfNegative val="0"/>
          <c:dLbls>
            <c:delete val="1"/>
          </c:dLbls>
          <c:cat>
            <c:strRef>
              <c:f>Resumenes!$A$2:$A$7</c:f>
              <c:strCache>
                <c:ptCount val="6"/>
                <c:pt idx="0">
                  <c:v>Marie Dubois</c:v>
                </c:pt>
                <c:pt idx="1">
                  <c:v>Anne Peeters</c:v>
                </c:pt>
                <c:pt idx="2">
                  <c:v>Sophie Janssens</c:v>
                </c:pt>
                <c:pt idx="3">
                  <c:v>Jan Peeters</c:v>
                </c:pt>
                <c:pt idx="4">
                  <c:v>Pierre Dubois</c:v>
                </c:pt>
                <c:pt idx="5">
                  <c:v>Willem Janssens</c:v>
                </c:pt>
              </c:strCache>
            </c:strRef>
          </c:cat>
          <c:val>
            <c:numRef>
              <c:f>Resumenes!$C$2:$C$7</c:f>
              <c:numCache>
                <c:formatCode>0.00</c:formatCode>
                <c:ptCount val="6"/>
                <c:pt idx="0">
                  <c:v>39</c:v>
                </c:pt>
                <c:pt idx="1">
                  <c:v>39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1075f0-4230-46f8-8fbf-16bd5e92ad92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Órdenes por estado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"Cantidad"</c:f>
              <c:strCache>
                <c:ptCount val="1"/>
                <c:pt idx="0">
                  <c:v>Cantidad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Resumenes!$H$2:$H$6</c:f>
              <c:strCache>
                <c:ptCount val="5"/>
                <c:pt idx="0">
                  <c:v>En desarrollo</c:v>
                </c:pt>
                <c:pt idx="1">
                  <c:v>Planificada</c:v>
                </c:pt>
                <c:pt idx="2">
                  <c:v>Proyectada</c:v>
                </c:pt>
                <c:pt idx="3">
                  <c:v>Prevista</c:v>
                </c:pt>
                <c:pt idx="4">
                  <c:v>Parada</c:v>
                </c:pt>
              </c:strCache>
            </c:strRef>
          </c:cat>
          <c:val>
            <c:numRef>
              <c:f>Resumenes!$I$2:$I$6</c:f>
              <c:numCache>
                <c:formatCode>General</c:formatCode>
                <c:ptCount val="5"/>
                <c:pt idx="0">
                  <c:v>42</c:v>
                </c:pt>
                <c:pt idx="1">
                  <c:v>73</c:v>
                </c:pt>
                <c:pt idx="2">
                  <c:v>80</c:v>
                </c:pt>
                <c:pt idx="3">
                  <c:v>31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d78168-d2e7-4d73-b017-4b071febe3ef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Vehículos y horas productivas por día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"Vehículos"</c:f>
              <c:strCache>
                <c:ptCount val="1"/>
                <c:pt idx="0">
                  <c:v>Vehículos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Resumenes!$B$11:$B$21</c:f>
              <c:numCache>
                <c:formatCode>General</c:formatCode>
                <c:ptCount val="11"/>
                <c:pt idx="0">
                  <c:v>24</c:v>
                </c:pt>
                <c:pt idx="1">
                  <c:v>16</c:v>
                </c:pt>
                <c:pt idx="2">
                  <c:v>20</c:v>
                </c:pt>
                <c:pt idx="3">
                  <c:v>27</c:v>
                </c:pt>
                <c:pt idx="4">
                  <c:v>22</c:v>
                </c:pt>
                <c:pt idx="5">
                  <c:v>21</c:v>
                </c:pt>
                <c:pt idx="6">
                  <c:v>25</c:v>
                </c:pt>
                <c:pt idx="7">
                  <c:v>21</c:v>
                </c:pt>
                <c:pt idx="8">
                  <c:v>22</c:v>
                </c:pt>
                <c:pt idx="9">
                  <c:v>16</c:v>
                </c:pt>
                <c:pt idx="10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"Horas productivas"</c:f>
              <c:strCache>
                <c:ptCount val="1"/>
                <c:pt idx="0">
                  <c:v>Horas productivas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Resumenes!$C$11:$C$21</c:f>
              <c:numCache>
                <c:formatCode>0.00</c:formatCode>
                <c:ptCount val="11"/>
                <c:pt idx="0">
                  <c:v>84.6</c:v>
                </c:pt>
                <c:pt idx="1">
                  <c:v>53.96</c:v>
                </c:pt>
                <c:pt idx="2">
                  <c:v>75.67</c:v>
                </c:pt>
                <c:pt idx="3">
                  <c:v>87.67</c:v>
                </c:pt>
                <c:pt idx="4">
                  <c:v>66.94</c:v>
                </c:pt>
                <c:pt idx="5">
                  <c:v>60.74</c:v>
                </c:pt>
                <c:pt idx="6">
                  <c:v>88.07</c:v>
                </c:pt>
                <c:pt idx="7">
                  <c:v>73.88</c:v>
                </c:pt>
                <c:pt idx="8">
                  <c:v>76.73</c:v>
                </c:pt>
                <c:pt idx="9">
                  <c:v>61.69</c:v>
                </c:pt>
                <c:pt idx="10">
                  <c:v>53.94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cf39fb-dbbe-43be-8357-480ebbaefb24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Costos diarios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"Vehículos"</c:f>
              <c:strCache>
                <c:ptCount val="1"/>
                <c:pt idx="0">
                  <c:v>Vehículos</c:v>
                </c:pt>
              </c:strCache>
            </c:strRef>
          </c:tx>
          <c:invertIfNegative val="0"/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Resumenes!$B$11:$B$21</c:f>
              <c:numCache>
                <c:formatCode>General</c:formatCode>
                <c:ptCount val="11"/>
                <c:pt idx="0">
                  <c:v>24</c:v>
                </c:pt>
                <c:pt idx="1">
                  <c:v>16</c:v>
                </c:pt>
                <c:pt idx="2">
                  <c:v>20</c:v>
                </c:pt>
                <c:pt idx="3">
                  <c:v>27</c:v>
                </c:pt>
                <c:pt idx="4">
                  <c:v>22</c:v>
                </c:pt>
                <c:pt idx="5">
                  <c:v>21</c:v>
                </c:pt>
                <c:pt idx="6">
                  <c:v>25</c:v>
                </c:pt>
                <c:pt idx="7">
                  <c:v>21</c:v>
                </c:pt>
                <c:pt idx="8">
                  <c:v>22</c:v>
                </c:pt>
                <c:pt idx="9">
                  <c:v>16</c:v>
                </c:pt>
                <c:pt idx="10">
                  <c:v>16</c:v>
                </c:pt>
              </c:numCache>
            </c:numRef>
          </c:val>
        </c:ser>
        <c:ser>
          <c:idx val="1"/>
          <c:order val="1"/>
          <c:tx>
            <c:strRef>
              <c:f>"Horas productivas"</c:f>
              <c:strCache>
                <c:ptCount val="1"/>
                <c:pt idx="0">
                  <c:v>Horas productivas</c:v>
                </c:pt>
              </c:strCache>
            </c:strRef>
          </c:tx>
          <c:invertIfNegative val="0"/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Resumenes!$C$11:$C$21</c:f>
              <c:numCache>
                <c:formatCode>0.00</c:formatCode>
                <c:ptCount val="11"/>
                <c:pt idx="0">
                  <c:v>84.6</c:v>
                </c:pt>
                <c:pt idx="1">
                  <c:v>53.96</c:v>
                </c:pt>
                <c:pt idx="2">
                  <c:v>75.67</c:v>
                </c:pt>
                <c:pt idx="3">
                  <c:v>87.67</c:v>
                </c:pt>
                <c:pt idx="4">
                  <c:v>66.94</c:v>
                </c:pt>
                <c:pt idx="5">
                  <c:v>60.74</c:v>
                </c:pt>
                <c:pt idx="6">
                  <c:v>88.07</c:v>
                </c:pt>
                <c:pt idx="7">
                  <c:v>73.88</c:v>
                </c:pt>
                <c:pt idx="8">
                  <c:v>76.73</c:v>
                </c:pt>
                <c:pt idx="9">
                  <c:v>61.69</c:v>
                </c:pt>
                <c:pt idx="10">
                  <c:v>53.94</c:v>
                </c:pt>
              </c:numCache>
            </c:numRef>
          </c:val>
        </c:ser>
        <c:ser>
          <c:idx val="2"/>
          <c:order val="2"/>
          <c:tx>
            <c:strRef>
              <c:f>"Horas extra"</c:f>
              <c:strCache>
                <c:ptCount val="1"/>
                <c:pt idx="0">
                  <c:v>Horas extra</c:v>
                </c:pt>
              </c:strCache>
            </c:strRef>
          </c:tx>
          <c:invertIfNegative val="0"/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Resumenes!$D$11:$D$21</c:f>
              <c:numCache>
                <c:formatCode>0.00</c:formatCode>
                <c:ptCount val="11"/>
                <c:pt idx="0">
                  <c:v>10.29</c:v>
                </c:pt>
                <c:pt idx="1">
                  <c:v>6.68</c:v>
                </c:pt>
                <c:pt idx="2">
                  <c:v>11.65</c:v>
                </c:pt>
                <c:pt idx="3">
                  <c:v>11.47</c:v>
                </c:pt>
                <c:pt idx="4">
                  <c:v>9.54</c:v>
                </c:pt>
                <c:pt idx="5">
                  <c:v>7.03</c:v>
                </c:pt>
                <c:pt idx="6">
                  <c:v>12.12</c:v>
                </c:pt>
                <c:pt idx="7">
                  <c:v>8.42</c:v>
                </c:pt>
                <c:pt idx="8">
                  <c:v>8.99</c:v>
                </c:pt>
                <c:pt idx="9">
                  <c:v>5.79</c:v>
                </c:pt>
                <c:pt idx="10">
                  <c:v>6.57</c:v>
                </c:pt>
              </c:numCache>
            </c:numRef>
          </c:val>
        </c:ser>
        <c:ser>
          <c:idx val="3"/>
          <c:order val="3"/>
          <c:tx>
            <c:strRef>
              <c:f>"Costo técnico"</c:f>
              <c:strCache>
                <c:ptCount val="1"/>
                <c:pt idx="0">
                  <c:v>Costo técnico</c:v>
                </c:pt>
              </c:strCache>
            </c:strRef>
          </c:tx>
          <c:invertIfNegative val="0"/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Resumenes!$E$11:$E$21</c:f>
              <c:numCache>
                <c:formatCode>0.00</c:formatCode>
                <c:ptCount val="11"/>
                <c:pt idx="0">
                  <c:v>2115</c:v>
                </c:pt>
                <c:pt idx="1">
                  <c:v>1349</c:v>
                </c:pt>
                <c:pt idx="2">
                  <c:v>1891.75</c:v>
                </c:pt>
                <c:pt idx="3">
                  <c:v>2191.75</c:v>
                </c:pt>
                <c:pt idx="4">
                  <c:v>1673.5</c:v>
                </c:pt>
                <c:pt idx="5">
                  <c:v>1518.5</c:v>
                </c:pt>
                <c:pt idx="6">
                  <c:v>2201.75</c:v>
                </c:pt>
                <c:pt idx="7">
                  <c:v>1847</c:v>
                </c:pt>
                <c:pt idx="8">
                  <c:v>1918.25</c:v>
                </c:pt>
                <c:pt idx="9">
                  <c:v>1542.25</c:v>
                </c:pt>
                <c:pt idx="10">
                  <c:v>1348.5</c:v>
                </c:pt>
              </c:numCache>
            </c:numRef>
          </c:val>
        </c:ser>
        <c:ser>
          <c:idx val="4"/>
          <c:order val="4"/>
          <c:tx>
            <c:strRef>
              <c:f>"Costo asesor"</c:f>
              <c:strCache>
                <c:ptCount val="1"/>
                <c:pt idx="0">
                  <c:v>Costo asesor</c:v>
                </c:pt>
              </c:strCache>
            </c:strRef>
          </c:tx>
          <c:invertIfNegative val="0"/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Resumenes!$F$11:$F$21</c:f>
              <c:numCache>
                <c:formatCode>0.00</c:formatCode>
                <c:ptCount val="11"/>
                <c:pt idx="0">
                  <c:v>264</c:v>
                </c:pt>
                <c:pt idx="1">
                  <c:v>176</c:v>
                </c:pt>
                <c:pt idx="2">
                  <c:v>220</c:v>
                </c:pt>
                <c:pt idx="3">
                  <c:v>297</c:v>
                </c:pt>
                <c:pt idx="4">
                  <c:v>242</c:v>
                </c:pt>
                <c:pt idx="5">
                  <c:v>231</c:v>
                </c:pt>
                <c:pt idx="6">
                  <c:v>275</c:v>
                </c:pt>
                <c:pt idx="7">
                  <c:v>231</c:v>
                </c:pt>
                <c:pt idx="8">
                  <c:v>242</c:v>
                </c:pt>
                <c:pt idx="9">
                  <c:v>176</c:v>
                </c:pt>
                <c:pt idx="10">
                  <c:v>176</c:v>
                </c:pt>
              </c:numCache>
            </c:numRef>
          </c:val>
        </c:ser>
        <c:ser>
          <c:idx val="5"/>
          <c:order val="5"/>
          <c:tx>
            <c:strRef>
              <c:f>"Costo lavado"</c:f>
              <c:strCache>
                <c:ptCount val="1"/>
                <c:pt idx="0">
                  <c:v>Costo lavado</c:v>
                </c:pt>
              </c:strCache>
            </c:strRef>
          </c:tx>
          <c:invertIfNegative val="0"/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Resumenes!$G$11:$G$21</c:f>
              <c:numCache>
                <c:formatCode>0.00</c:formatCode>
                <c:ptCount val="11"/>
                <c:pt idx="0">
                  <c:v>12</c:v>
                </c:pt>
                <c:pt idx="1">
                  <c:v>8</c:v>
                </c:pt>
                <c:pt idx="2">
                  <c:v>10</c:v>
                </c:pt>
                <c:pt idx="3">
                  <c:v>13.5</c:v>
                </c:pt>
                <c:pt idx="4">
                  <c:v>11</c:v>
                </c:pt>
                <c:pt idx="5">
                  <c:v>10.5</c:v>
                </c:pt>
                <c:pt idx="6">
                  <c:v>12.5</c:v>
                </c:pt>
                <c:pt idx="7">
                  <c:v>10.5</c:v>
                </c:pt>
                <c:pt idx="8">
                  <c:v>11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</c:ser>
        <c:ser>
          <c:idx val="6"/>
          <c:order val="6"/>
          <c:tx>
            <c:strRef>
              <c:f>"Costo CC"</c:f>
              <c:strCache>
                <c:ptCount val="1"/>
                <c:pt idx="0">
                  <c:v>Costo CC</c:v>
                </c:pt>
              </c:strCache>
            </c:strRef>
          </c:tx>
          <c:invertIfNegative val="0"/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Resumenes!$H$11:$H$21</c:f>
              <c:numCache>
                <c:formatCode>0.00</c:formatCode>
                <c:ptCount val="11"/>
                <c:pt idx="0">
                  <c:v>120</c:v>
                </c:pt>
                <c:pt idx="1">
                  <c:v>80</c:v>
                </c:pt>
                <c:pt idx="2">
                  <c:v>100</c:v>
                </c:pt>
                <c:pt idx="3">
                  <c:v>135</c:v>
                </c:pt>
                <c:pt idx="4">
                  <c:v>110</c:v>
                </c:pt>
                <c:pt idx="5">
                  <c:v>105</c:v>
                </c:pt>
                <c:pt idx="6">
                  <c:v>125</c:v>
                </c:pt>
                <c:pt idx="7">
                  <c:v>105</c:v>
                </c:pt>
                <c:pt idx="8">
                  <c:v>110</c:v>
                </c:pt>
                <c:pt idx="9">
                  <c:v>80</c:v>
                </c:pt>
                <c:pt idx="10">
                  <c:v>80</c:v>
                </c:pt>
              </c:numCache>
            </c:numRef>
          </c:val>
        </c:ser>
        <c:ser>
          <c:idx val="7"/>
          <c:order val="7"/>
          <c:tx>
            <c:strRef>
              <c:f>"Costo total"</c:f>
              <c:strCache>
                <c:ptCount val="1"/>
                <c:pt idx="0">
                  <c:v>Costo total</c:v>
                </c:pt>
              </c:strCache>
            </c:strRef>
          </c:tx>
          <c:invertIfNegative val="0"/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Resumenes!$I$11:$I$21</c:f>
              <c:numCache>
                <c:formatCode>0.00</c:formatCode>
                <c:ptCount val="11"/>
                <c:pt idx="0">
                  <c:v>2511</c:v>
                </c:pt>
                <c:pt idx="1">
                  <c:v>1613</c:v>
                </c:pt>
                <c:pt idx="2">
                  <c:v>2221.75</c:v>
                </c:pt>
                <c:pt idx="3">
                  <c:v>2637.25</c:v>
                </c:pt>
                <c:pt idx="4">
                  <c:v>2036.5</c:v>
                </c:pt>
                <c:pt idx="5">
                  <c:v>1865</c:v>
                </c:pt>
                <c:pt idx="6">
                  <c:v>2614.25</c:v>
                </c:pt>
                <c:pt idx="7">
                  <c:v>2193.5</c:v>
                </c:pt>
                <c:pt idx="8">
                  <c:v>2281.25</c:v>
                </c:pt>
                <c:pt idx="9">
                  <c:v>1806.25</c:v>
                </c:pt>
                <c:pt idx="10">
                  <c:v>1612.5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f0d9a3-4c64-4709-83b2-f861f5bbb7a6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Órdenes por tipo de trabajo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"Cantidad"</c:f>
              <c:strCache>
                <c:ptCount val="1"/>
                <c:pt idx="0">
                  <c:v>Cantidad</c:v>
                </c:pt>
              </c:strCache>
            </c:strRef>
          </c:tx>
          <c:invertIfNegative val="0"/>
          <c:dLbls>
            <c:delete val="1"/>
          </c:dLbls>
          <c:cat>
            <c:strRef>
              <c:f>Resumenes!$N$2:$N$7</c:f>
              <c:strCache>
                <c:ptCount val="6"/>
                <c:pt idx="0">
                  <c:v>Mantenimiento 5.000 km</c:v>
                </c:pt>
                <c:pt idx="1">
                  <c:v>Mantenimiento 10.000 km</c:v>
                </c:pt>
                <c:pt idx="2">
                  <c:v>Mantenimiento 20.000 km</c:v>
                </c:pt>
                <c:pt idx="3">
                  <c:v>Mantenimiento 30.000 km</c:v>
                </c:pt>
                <c:pt idx="4">
                  <c:v>Mantenimiento 40.000 km</c:v>
                </c:pt>
                <c:pt idx="5">
                  <c:v>Mantenimiento 50.000 km</c:v>
                </c:pt>
              </c:strCache>
            </c:strRef>
          </c:cat>
          <c:val>
            <c:numRef>
              <c:f>Resumenes!$O$2:$O$7</c:f>
              <c:numCache>
                <c:formatCode>General</c:formatCode>
                <c:ptCount val="6"/>
                <c:pt idx="0">
                  <c:v>43</c:v>
                </c:pt>
                <c:pt idx="1">
                  <c:v>39</c:v>
                </c:pt>
                <c:pt idx="2">
                  <c:v>42</c:v>
                </c:pt>
                <c:pt idx="3">
                  <c:v>27</c:v>
                </c:pt>
                <c:pt idx="4">
                  <c:v>36</c:v>
                </c:pt>
                <c:pt idx="5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59273e5-171c-4b9d-8c14-46ac00aade9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Utilización diaria de capacidad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"Vehículos"</c:f>
              <c:strCache>
                <c:ptCount val="1"/>
                <c:pt idx="0">
                  <c:v>Vehículos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Resumenes!$B$11:$B$21</c:f>
              <c:numCache>
                <c:formatCode>General</c:formatCode>
                <c:ptCount val="11"/>
                <c:pt idx="0">
                  <c:v>24</c:v>
                </c:pt>
                <c:pt idx="1">
                  <c:v>16</c:v>
                </c:pt>
                <c:pt idx="2">
                  <c:v>20</c:v>
                </c:pt>
                <c:pt idx="3">
                  <c:v>27</c:v>
                </c:pt>
                <c:pt idx="4">
                  <c:v>22</c:v>
                </c:pt>
                <c:pt idx="5">
                  <c:v>21</c:v>
                </c:pt>
                <c:pt idx="6">
                  <c:v>25</c:v>
                </c:pt>
                <c:pt idx="7">
                  <c:v>21</c:v>
                </c:pt>
                <c:pt idx="8">
                  <c:v>22</c:v>
                </c:pt>
                <c:pt idx="9">
                  <c:v>16</c:v>
                </c:pt>
                <c:pt idx="10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"Horas productivas"</c:f>
              <c:strCache>
                <c:ptCount val="1"/>
                <c:pt idx="0">
                  <c:v>Horas productivas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Resumenes!$C$11:$C$21</c:f>
              <c:numCache>
                <c:formatCode>0.00</c:formatCode>
                <c:ptCount val="11"/>
                <c:pt idx="0">
                  <c:v>84.6</c:v>
                </c:pt>
                <c:pt idx="1">
                  <c:v>53.96</c:v>
                </c:pt>
                <c:pt idx="2">
                  <c:v>75.67</c:v>
                </c:pt>
                <c:pt idx="3">
                  <c:v>87.67</c:v>
                </c:pt>
                <c:pt idx="4">
                  <c:v>66.94</c:v>
                </c:pt>
                <c:pt idx="5">
                  <c:v>60.74</c:v>
                </c:pt>
                <c:pt idx="6">
                  <c:v>88.07</c:v>
                </c:pt>
                <c:pt idx="7">
                  <c:v>73.88</c:v>
                </c:pt>
                <c:pt idx="8">
                  <c:v>76.73</c:v>
                </c:pt>
                <c:pt idx="9">
                  <c:v>61.69</c:v>
                </c:pt>
                <c:pt idx="10">
                  <c:v>53.94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"Horas extra"</c:f>
              <c:strCache>
                <c:ptCount val="1"/>
                <c:pt idx="0">
                  <c:v>Horas extra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Resumenes!$D$11:$D$21</c:f>
              <c:numCache>
                <c:formatCode>0.00</c:formatCode>
                <c:ptCount val="11"/>
                <c:pt idx="0">
                  <c:v>10.29</c:v>
                </c:pt>
                <c:pt idx="1">
                  <c:v>6.68</c:v>
                </c:pt>
                <c:pt idx="2">
                  <c:v>11.65</c:v>
                </c:pt>
                <c:pt idx="3">
                  <c:v>11.47</c:v>
                </c:pt>
                <c:pt idx="4">
                  <c:v>9.54</c:v>
                </c:pt>
                <c:pt idx="5">
                  <c:v>7.03</c:v>
                </c:pt>
                <c:pt idx="6">
                  <c:v>12.12</c:v>
                </c:pt>
                <c:pt idx="7">
                  <c:v>8.42</c:v>
                </c:pt>
                <c:pt idx="8">
                  <c:v>8.99</c:v>
                </c:pt>
                <c:pt idx="9">
                  <c:v>5.79</c:v>
                </c:pt>
                <c:pt idx="10">
                  <c:v>6.57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"Costo técnico"</c:f>
              <c:strCache>
                <c:ptCount val="1"/>
                <c:pt idx="0">
                  <c:v>Costo técnico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Resumenes!$E$11:$E$21</c:f>
              <c:numCache>
                <c:formatCode>0.00</c:formatCode>
                <c:ptCount val="11"/>
                <c:pt idx="0">
                  <c:v>2115</c:v>
                </c:pt>
                <c:pt idx="1">
                  <c:v>1349</c:v>
                </c:pt>
                <c:pt idx="2">
                  <c:v>1891.75</c:v>
                </c:pt>
                <c:pt idx="3">
                  <c:v>2191.75</c:v>
                </c:pt>
                <c:pt idx="4">
                  <c:v>1673.5</c:v>
                </c:pt>
                <c:pt idx="5">
                  <c:v>1518.5</c:v>
                </c:pt>
                <c:pt idx="6">
                  <c:v>2201.75</c:v>
                </c:pt>
                <c:pt idx="7">
                  <c:v>1847</c:v>
                </c:pt>
                <c:pt idx="8">
                  <c:v>1918.25</c:v>
                </c:pt>
                <c:pt idx="9">
                  <c:v>1542.25</c:v>
                </c:pt>
                <c:pt idx="10">
                  <c:v>1348.5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"Costo asesor"</c:f>
              <c:strCache>
                <c:ptCount val="1"/>
                <c:pt idx="0">
                  <c:v>Costo asesor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Resumenes!$F$11:$F$21</c:f>
              <c:numCache>
                <c:formatCode>0.00</c:formatCode>
                <c:ptCount val="11"/>
                <c:pt idx="0">
                  <c:v>264</c:v>
                </c:pt>
                <c:pt idx="1">
                  <c:v>176</c:v>
                </c:pt>
                <c:pt idx="2">
                  <c:v>220</c:v>
                </c:pt>
                <c:pt idx="3">
                  <c:v>297</c:v>
                </c:pt>
                <c:pt idx="4">
                  <c:v>242</c:v>
                </c:pt>
                <c:pt idx="5">
                  <c:v>231</c:v>
                </c:pt>
                <c:pt idx="6">
                  <c:v>275</c:v>
                </c:pt>
                <c:pt idx="7">
                  <c:v>231</c:v>
                </c:pt>
                <c:pt idx="8">
                  <c:v>242</c:v>
                </c:pt>
                <c:pt idx="9">
                  <c:v>176</c:v>
                </c:pt>
                <c:pt idx="10">
                  <c:v>176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"Costo lavado"</c:f>
              <c:strCache>
                <c:ptCount val="1"/>
                <c:pt idx="0">
                  <c:v>Costo lavado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Resumenes!$G$11:$G$21</c:f>
              <c:numCache>
                <c:formatCode>0.00</c:formatCode>
                <c:ptCount val="11"/>
                <c:pt idx="0">
                  <c:v>12</c:v>
                </c:pt>
                <c:pt idx="1">
                  <c:v>8</c:v>
                </c:pt>
                <c:pt idx="2">
                  <c:v>10</c:v>
                </c:pt>
                <c:pt idx="3">
                  <c:v>13.5</c:v>
                </c:pt>
                <c:pt idx="4">
                  <c:v>11</c:v>
                </c:pt>
                <c:pt idx="5">
                  <c:v>10.5</c:v>
                </c:pt>
                <c:pt idx="6">
                  <c:v>12.5</c:v>
                </c:pt>
                <c:pt idx="7">
                  <c:v>10.5</c:v>
                </c:pt>
                <c:pt idx="8">
                  <c:v>11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"Costo CC"</c:f>
              <c:strCache>
                <c:ptCount val="1"/>
                <c:pt idx="0">
                  <c:v>Costo CC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Resumenes!$H$11:$H$21</c:f>
              <c:numCache>
                <c:formatCode>0.00</c:formatCode>
                <c:ptCount val="11"/>
                <c:pt idx="0">
                  <c:v>120</c:v>
                </c:pt>
                <c:pt idx="1">
                  <c:v>80</c:v>
                </c:pt>
                <c:pt idx="2">
                  <c:v>100</c:v>
                </c:pt>
                <c:pt idx="3">
                  <c:v>135</c:v>
                </c:pt>
                <c:pt idx="4">
                  <c:v>110</c:v>
                </c:pt>
                <c:pt idx="5">
                  <c:v>105</c:v>
                </c:pt>
                <c:pt idx="6">
                  <c:v>125</c:v>
                </c:pt>
                <c:pt idx="7">
                  <c:v>105</c:v>
                </c:pt>
                <c:pt idx="8">
                  <c:v>110</c:v>
                </c:pt>
                <c:pt idx="9">
                  <c:v>80</c:v>
                </c:pt>
                <c:pt idx="10">
                  <c:v>80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"Costo total"</c:f>
              <c:strCache>
                <c:ptCount val="1"/>
                <c:pt idx="0">
                  <c:v>Costo total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Resumenes!$I$11:$I$21</c:f>
              <c:numCache>
                <c:formatCode>0.00</c:formatCode>
                <c:ptCount val="11"/>
                <c:pt idx="0">
                  <c:v>2511</c:v>
                </c:pt>
                <c:pt idx="1">
                  <c:v>1613</c:v>
                </c:pt>
                <c:pt idx="2">
                  <c:v>2221.75</c:v>
                </c:pt>
                <c:pt idx="3">
                  <c:v>2637.25</c:v>
                </c:pt>
                <c:pt idx="4">
                  <c:v>2036.5</c:v>
                </c:pt>
                <c:pt idx="5">
                  <c:v>1865</c:v>
                </c:pt>
                <c:pt idx="6">
                  <c:v>2614.25</c:v>
                </c:pt>
                <c:pt idx="7">
                  <c:v>2193.5</c:v>
                </c:pt>
                <c:pt idx="8">
                  <c:v>2281.25</c:v>
                </c:pt>
                <c:pt idx="9">
                  <c:v>1806.25</c:v>
                </c:pt>
                <c:pt idx="10">
                  <c:v>1612.5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"Utilización"</c:f>
              <c:strCache>
                <c:ptCount val="1"/>
                <c:pt idx="0">
                  <c:v>Utilización</c:v>
                </c:pt>
              </c:strCache>
            </c:strRef>
          </c:tx>
          <c:dLbls>
            <c:delete val="1"/>
          </c:dLbls>
          <c:cat>
            <c:numRef>
              <c:f>Resumenes!$A$11:$A$21</c:f>
              <c:numCache>
                <c:formatCode>dd/mm/yyyy</c:formatCode>
                <c:ptCount val="11"/>
                <c:pt idx="0" c:formatCode="dd/mm/yyyy">
                  <c:v>46216</c:v>
                </c:pt>
                <c:pt idx="1" c:formatCode="dd/mm/yyyy">
                  <c:v>46217</c:v>
                </c:pt>
                <c:pt idx="2" c:formatCode="dd/mm/yyyy">
                  <c:v>46218</c:v>
                </c:pt>
                <c:pt idx="3" c:formatCode="dd/mm/yyyy">
                  <c:v>46219</c:v>
                </c:pt>
                <c:pt idx="4" c:formatCode="dd/mm/yyyy">
                  <c:v>46220</c:v>
                </c:pt>
                <c:pt idx="5" c:formatCode="dd/mm/yyyy">
                  <c:v>46223</c:v>
                </c:pt>
                <c:pt idx="6" c:formatCode="dd/mm/yyyy">
                  <c:v>46224</c:v>
                </c:pt>
                <c:pt idx="7" c:formatCode="dd/mm/yyyy">
                  <c:v>46225</c:v>
                </c:pt>
                <c:pt idx="8" c:formatCode="dd/mm/yyyy">
                  <c:v>46226</c:v>
                </c:pt>
                <c:pt idx="9" c:formatCode="dd/mm/yyyy">
                  <c:v>46227</c:v>
                </c:pt>
                <c:pt idx="10" c:formatCode="dd/mm/yyyy">
                  <c:v>46230</c:v>
                </c:pt>
              </c:numCache>
            </c:numRef>
          </c:cat>
          <c:val>
            <c:numRef>
              <c:f>Resumenes!$J$11:$J$21</c:f>
              <c:numCache>
                <c:formatCode>0%</c:formatCode>
                <c:ptCount val="11"/>
                <c:pt idx="0">
                  <c:v>1.7625</c:v>
                </c:pt>
                <c:pt idx="1">
                  <c:v>1.12416666666667</c:v>
                </c:pt>
                <c:pt idx="2">
                  <c:v>1.57645833333333</c:v>
                </c:pt>
                <c:pt idx="3">
                  <c:v>1.82645833333333</c:v>
                </c:pt>
                <c:pt idx="4">
                  <c:v>1.39458333333333</c:v>
                </c:pt>
                <c:pt idx="5">
                  <c:v>1.26541666666667</c:v>
                </c:pt>
                <c:pt idx="6">
                  <c:v>1.83479166666667</c:v>
                </c:pt>
                <c:pt idx="7">
                  <c:v>1.53916666666667</c:v>
                </c:pt>
                <c:pt idx="8">
                  <c:v>1.59854166666667</c:v>
                </c:pt>
                <c:pt idx="9">
                  <c:v>1.28520833333333</c:v>
                </c:pt>
                <c:pt idx="10">
                  <c:v>1.12375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b9a1790-325b-4fb0-93f9-df7fca05144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30</xdr:row>
      <xdr:rowOff>0</xdr:rowOff>
    </xdr:to>
    <xdr:graphicFrame>
      <xdr:nvGraphicFramePr>
        <xdr:cNvPr id="2" name="Chart"/>
        <xdr:cNvGraphicFramePr/>
      </xdr:nvGraphicFramePr>
      <xdr:xfrm>
        <a:off x="0" y="3368040"/>
        <a:ext cx="7315200" cy="28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16</xdr:col>
      <xdr:colOff>0</xdr:colOff>
      <xdr:row>30</xdr:row>
      <xdr:rowOff>0</xdr:rowOff>
    </xdr:to>
    <xdr:graphicFrame>
      <xdr:nvGraphicFramePr>
        <xdr:cNvPr id="3" name="Chart"/>
        <xdr:cNvGraphicFramePr/>
      </xdr:nvGraphicFramePr>
      <xdr:xfrm>
        <a:off x="7315200" y="3368040"/>
        <a:ext cx="8176260" cy="28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0</xdr:colOff>
      <xdr:row>48</xdr:row>
      <xdr:rowOff>0</xdr:rowOff>
    </xdr:to>
    <xdr:graphicFrame>
      <xdr:nvGraphicFramePr>
        <xdr:cNvPr id="4" name="Chart"/>
        <xdr:cNvGraphicFramePr/>
      </xdr:nvGraphicFramePr>
      <xdr:xfrm>
        <a:off x="0" y="6347460"/>
        <a:ext cx="731520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16</xdr:col>
      <xdr:colOff>0</xdr:colOff>
      <xdr:row>48</xdr:row>
      <xdr:rowOff>0</xdr:rowOff>
    </xdr:to>
    <xdr:graphicFrame>
      <xdr:nvGraphicFramePr>
        <xdr:cNvPr id="5" name="Chart"/>
        <xdr:cNvGraphicFramePr/>
      </xdr:nvGraphicFramePr>
      <xdr:xfrm>
        <a:off x="7315200" y="6347460"/>
        <a:ext cx="817626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8</xdr:col>
      <xdr:colOff>0</xdr:colOff>
      <xdr:row>66</xdr:row>
      <xdr:rowOff>0</xdr:rowOff>
    </xdr:to>
    <xdr:graphicFrame>
      <xdr:nvGraphicFramePr>
        <xdr:cNvPr id="6" name="Chart"/>
        <xdr:cNvGraphicFramePr/>
      </xdr:nvGraphicFramePr>
      <xdr:xfrm>
        <a:off x="0" y="9502140"/>
        <a:ext cx="731520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49</xdr:row>
      <xdr:rowOff>0</xdr:rowOff>
    </xdr:from>
    <xdr:to>
      <xdr:col>16</xdr:col>
      <xdr:colOff>0</xdr:colOff>
      <xdr:row>66</xdr:row>
      <xdr:rowOff>0</xdr:rowOff>
    </xdr:to>
    <xdr:graphicFrame>
      <xdr:nvGraphicFramePr>
        <xdr:cNvPr id="7" name="Chart"/>
        <xdr:cNvGraphicFramePr/>
      </xdr:nvGraphicFramePr>
      <xdr:xfrm>
        <a:off x="7315200" y="9502140"/>
        <a:ext cx="817626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BaseDashboard" displayName="TablaBaseDashboard" ref="A1:Q231">
  <tableColumns count="17">
    <tableColumn id="1" name="OT"/>
    <tableColumn id="2" name="Fecha"/>
    <tableColumn id="3" name="Semana"/>
    <tableColumn id="4" name="Técnico"/>
    <tableColumn id="5" name="Asesor"/>
    <tableColumn id="6" name="Estado"/>
    <tableColumn id="7" name="Tipo vehículo"/>
    <tableColumn id="8" name="Tipo trabajo"/>
    <tableColumn id="9" name="Horas productivas"/>
    <tableColumn id="10" name="Horas extra"/>
    <tableColumn id="11" name="Costo técnico"/>
    <tableColumn id="12" name="Costo asesor"/>
    <tableColumn id="13" name="Costo lavado"/>
    <tableColumn id="14" name="Costo control calidad"/>
    <tableColumn id="15" name="Costo total"/>
    <tableColumn id="16" name="Situación"/>
    <tableColumn id="17" name="Cumplimi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1"/>
  <sheetViews>
    <sheetView topLeftCell="A204" workbookViewId="0">
      <selection activeCell="A1" sqref="A1"/>
    </sheetView>
  </sheetViews>
  <sheetFormatPr defaultColWidth="9" defaultRowHeight="13.8"/>
  <cols>
    <col min="1" max="3" width="15" customWidth="1"/>
    <col min="4" max="8" width="20" customWidth="1"/>
    <col min="9" max="15" width="15" customWidth="1"/>
    <col min="16" max="17" width="20" customWidth="1"/>
  </cols>
  <sheetData>
    <row r="1" ht="27.6" spans="1:17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</row>
    <row r="2" spans="1:17">
      <c r="A2" t="s">
        <v>17</v>
      </c>
      <c r="B2" s="14">
        <v>46219</v>
      </c>
      <c r="C2">
        <v>29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12">
        <v>0.63</v>
      </c>
      <c r="J2" s="12">
        <v>0</v>
      </c>
      <c r="K2" s="16">
        <v>15.75</v>
      </c>
      <c r="L2" s="16">
        <v>11</v>
      </c>
      <c r="M2" s="16">
        <v>0.5</v>
      </c>
      <c r="N2" s="16">
        <v>5</v>
      </c>
      <c r="O2" s="16">
        <v>32.25</v>
      </c>
      <c r="P2" t="s">
        <v>23</v>
      </c>
      <c r="Q2" t="s">
        <v>24</v>
      </c>
    </row>
    <row r="3" spans="1:17">
      <c r="A3" t="s">
        <v>25</v>
      </c>
      <c r="B3" s="14">
        <v>46219</v>
      </c>
      <c r="C3">
        <v>29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s="12">
        <v>4.01</v>
      </c>
      <c r="J3" s="12">
        <v>0</v>
      </c>
      <c r="K3" s="16">
        <v>100.25</v>
      </c>
      <c r="L3" s="16">
        <v>11</v>
      </c>
      <c r="M3" s="16">
        <v>0.5</v>
      </c>
      <c r="N3" s="16">
        <v>5</v>
      </c>
      <c r="O3" s="16">
        <v>116.75</v>
      </c>
      <c r="P3" t="s">
        <v>23</v>
      </c>
      <c r="Q3" t="s">
        <v>24</v>
      </c>
    </row>
    <row r="4" spans="1:17">
      <c r="A4" t="s">
        <v>31</v>
      </c>
      <c r="B4" s="14">
        <v>46223</v>
      </c>
      <c r="C4">
        <v>30</v>
      </c>
      <c r="D4" t="s">
        <v>32</v>
      </c>
      <c r="E4" t="s">
        <v>19</v>
      </c>
      <c r="F4" t="s">
        <v>33</v>
      </c>
      <c r="G4" t="s">
        <v>21</v>
      </c>
      <c r="H4" t="s">
        <v>30</v>
      </c>
      <c r="I4" s="12">
        <v>3.35</v>
      </c>
      <c r="J4" s="12">
        <v>0.3</v>
      </c>
      <c r="K4" s="16">
        <v>83.75</v>
      </c>
      <c r="L4" s="16">
        <v>11</v>
      </c>
      <c r="M4" s="16">
        <v>0.5</v>
      </c>
      <c r="N4" s="16">
        <v>5</v>
      </c>
      <c r="O4" s="16">
        <v>100.25</v>
      </c>
      <c r="P4" t="s">
        <v>34</v>
      </c>
      <c r="Q4" t="s">
        <v>24</v>
      </c>
    </row>
    <row r="5" spans="1:17">
      <c r="A5" t="s">
        <v>35</v>
      </c>
      <c r="B5" s="14">
        <v>46217</v>
      </c>
      <c r="C5">
        <v>29</v>
      </c>
      <c r="D5" t="s">
        <v>36</v>
      </c>
      <c r="E5" t="s">
        <v>27</v>
      </c>
      <c r="F5" t="s">
        <v>28</v>
      </c>
      <c r="G5" t="s">
        <v>21</v>
      </c>
      <c r="H5" t="s">
        <v>37</v>
      </c>
      <c r="I5" s="12">
        <v>3.87</v>
      </c>
      <c r="J5" s="12">
        <v>0.56</v>
      </c>
      <c r="K5" s="16">
        <v>96.75</v>
      </c>
      <c r="L5" s="16">
        <v>11</v>
      </c>
      <c r="M5" s="16">
        <v>0.5</v>
      </c>
      <c r="N5" s="16">
        <v>5</v>
      </c>
      <c r="O5" s="16">
        <v>113.25</v>
      </c>
      <c r="P5" t="s">
        <v>23</v>
      </c>
      <c r="Q5" t="s">
        <v>38</v>
      </c>
    </row>
    <row r="6" spans="1:17">
      <c r="A6" t="s">
        <v>39</v>
      </c>
      <c r="B6" s="14">
        <v>46227</v>
      </c>
      <c r="C6">
        <v>30</v>
      </c>
      <c r="D6" t="s">
        <v>40</v>
      </c>
      <c r="E6" t="s">
        <v>19</v>
      </c>
      <c r="F6" t="s">
        <v>33</v>
      </c>
      <c r="G6" t="s">
        <v>29</v>
      </c>
      <c r="H6" t="s">
        <v>41</v>
      </c>
      <c r="I6" s="12">
        <v>4.56</v>
      </c>
      <c r="J6" s="12">
        <v>0</v>
      </c>
      <c r="K6" s="16">
        <v>114</v>
      </c>
      <c r="L6" s="16">
        <v>11</v>
      </c>
      <c r="M6" s="16">
        <v>0.5</v>
      </c>
      <c r="N6" s="16">
        <v>5</v>
      </c>
      <c r="O6" s="16">
        <v>130.5</v>
      </c>
      <c r="P6" t="s">
        <v>34</v>
      </c>
      <c r="Q6" t="s">
        <v>24</v>
      </c>
    </row>
    <row r="7" spans="1:17">
      <c r="A7" t="s">
        <v>42</v>
      </c>
      <c r="B7" s="14">
        <v>46225</v>
      </c>
      <c r="C7">
        <v>30</v>
      </c>
      <c r="D7" t="s">
        <v>43</v>
      </c>
      <c r="E7" t="s">
        <v>27</v>
      </c>
      <c r="F7" t="s">
        <v>44</v>
      </c>
      <c r="G7" t="s">
        <v>21</v>
      </c>
      <c r="H7" t="s">
        <v>45</v>
      </c>
      <c r="I7" s="12">
        <v>4.12</v>
      </c>
      <c r="J7" s="12">
        <v>0.31</v>
      </c>
      <c r="K7" s="16">
        <v>103</v>
      </c>
      <c r="L7" s="16">
        <v>11</v>
      </c>
      <c r="M7" s="16">
        <v>0.5</v>
      </c>
      <c r="N7" s="16">
        <v>5</v>
      </c>
      <c r="O7" s="16">
        <v>119.5</v>
      </c>
      <c r="P7" t="s">
        <v>34</v>
      </c>
      <c r="Q7" t="s">
        <v>24</v>
      </c>
    </row>
    <row r="8" spans="1:17">
      <c r="A8" t="s">
        <v>46</v>
      </c>
      <c r="B8" s="14">
        <v>46218</v>
      </c>
      <c r="C8">
        <v>29</v>
      </c>
      <c r="D8" t="s">
        <v>18</v>
      </c>
      <c r="E8" t="s">
        <v>19</v>
      </c>
      <c r="F8" t="s">
        <v>33</v>
      </c>
      <c r="G8" t="s">
        <v>29</v>
      </c>
      <c r="H8" t="s">
        <v>45</v>
      </c>
      <c r="I8" s="12">
        <v>4.27</v>
      </c>
      <c r="J8" s="12">
        <v>1.01</v>
      </c>
      <c r="K8" s="16">
        <v>106.75</v>
      </c>
      <c r="L8" s="16">
        <v>11</v>
      </c>
      <c r="M8" s="16">
        <v>0.5</v>
      </c>
      <c r="N8" s="16">
        <v>5</v>
      </c>
      <c r="O8" s="16">
        <v>123.25</v>
      </c>
      <c r="P8" t="s">
        <v>34</v>
      </c>
      <c r="Q8" t="s">
        <v>24</v>
      </c>
    </row>
    <row r="9" spans="1:17">
      <c r="A9" t="s">
        <v>47</v>
      </c>
      <c r="B9" s="14">
        <v>46223</v>
      </c>
      <c r="C9">
        <v>30</v>
      </c>
      <c r="D9" t="s">
        <v>26</v>
      </c>
      <c r="E9" t="s">
        <v>27</v>
      </c>
      <c r="F9" t="s">
        <v>33</v>
      </c>
      <c r="G9" t="s">
        <v>21</v>
      </c>
      <c r="H9" t="s">
        <v>45</v>
      </c>
      <c r="I9" s="12">
        <v>3.63</v>
      </c>
      <c r="J9" s="12">
        <v>0.45</v>
      </c>
      <c r="K9" s="16">
        <v>90.75</v>
      </c>
      <c r="L9" s="16">
        <v>11</v>
      </c>
      <c r="M9" s="16">
        <v>0.5</v>
      </c>
      <c r="N9" s="16">
        <v>5</v>
      </c>
      <c r="O9" s="16">
        <v>107.25</v>
      </c>
      <c r="P9" t="s">
        <v>34</v>
      </c>
      <c r="Q9" t="s">
        <v>24</v>
      </c>
    </row>
    <row r="10" spans="1:17">
      <c r="A10" t="s">
        <v>48</v>
      </c>
      <c r="B10" s="14">
        <v>46225</v>
      </c>
      <c r="C10">
        <v>30</v>
      </c>
      <c r="D10" t="s">
        <v>32</v>
      </c>
      <c r="E10" t="s">
        <v>19</v>
      </c>
      <c r="F10" t="s">
        <v>28</v>
      </c>
      <c r="G10" t="s">
        <v>21</v>
      </c>
      <c r="H10" t="s">
        <v>41</v>
      </c>
      <c r="I10" s="12">
        <v>4.44</v>
      </c>
      <c r="J10" s="12">
        <v>0</v>
      </c>
      <c r="K10" s="16">
        <v>111</v>
      </c>
      <c r="L10" s="16">
        <v>11</v>
      </c>
      <c r="M10" s="16">
        <v>0.5</v>
      </c>
      <c r="N10" s="16">
        <v>5</v>
      </c>
      <c r="O10" s="16">
        <v>127.5</v>
      </c>
      <c r="P10" t="s">
        <v>23</v>
      </c>
      <c r="Q10" t="s">
        <v>24</v>
      </c>
    </row>
    <row r="11" spans="1:17">
      <c r="A11" t="s">
        <v>49</v>
      </c>
      <c r="B11" s="14">
        <v>46225</v>
      </c>
      <c r="C11">
        <v>30</v>
      </c>
      <c r="D11" t="s">
        <v>36</v>
      </c>
      <c r="E11" t="s">
        <v>27</v>
      </c>
      <c r="F11" t="s">
        <v>28</v>
      </c>
      <c r="G11" t="s">
        <v>50</v>
      </c>
      <c r="H11" t="s">
        <v>41</v>
      </c>
      <c r="I11" s="12">
        <v>4.91</v>
      </c>
      <c r="J11" s="12">
        <v>0</v>
      </c>
      <c r="K11" s="16">
        <v>122.75</v>
      </c>
      <c r="L11" s="16">
        <v>11</v>
      </c>
      <c r="M11" s="16">
        <v>0.5</v>
      </c>
      <c r="N11" s="16">
        <v>5</v>
      </c>
      <c r="O11" s="16">
        <v>139.25</v>
      </c>
      <c r="P11" t="s">
        <v>23</v>
      </c>
      <c r="Q11" t="s">
        <v>24</v>
      </c>
    </row>
    <row r="12" spans="1:17">
      <c r="A12" t="s">
        <v>51</v>
      </c>
      <c r="B12" s="14">
        <v>46220</v>
      </c>
      <c r="C12">
        <v>29</v>
      </c>
      <c r="D12" t="s">
        <v>40</v>
      </c>
      <c r="E12" t="s">
        <v>19</v>
      </c>
      <c r="F12" t="s">
        <v>44</v>
      </c>
      <c r="G12" t="s">
        <v>50</v>
      </c>
      <c r="H12" t="s">
        <v>41</v>
      </c>
      <c r="I12" s="12">
        <v>4.92</v>
      </c>
      <c r="J12" s="12">
        <v>1.16</v>
      </c>
      <c r="K12" s="16">
        <v>123</v>
      </c>
      <c r="L12" s="16">
        <v>11</v>
      </c>
      <c r="M12" s="16">
        <v>0.5</v>
      </c>
      <c r="N12" s="16">
        <v>5</v>
      </c>
      <c r="O12" s="16">
        <v>139.5</v>
      </c>
      <c r="P12" t="s">
        <v>34</v>
      </c>
      <c r="Q12" t="s">
        <v>24</v>
      </c>
    </row>
    <row r="13" spans="1:17">
      <c r="A13" t="s">
        <v>52</v>
      </c>
      <c r="B13" s="14">
        <v>46230</v>
      </c>
      <c r="C13">
        <v>31</v>
      </c>
      <c r="D13" t="s">
        <v>43</v>
      </c>
      <c r="E13" t="s">
        <v>27</v>
      </c>
      <c r="F13" t="s">
        <v>44</v>
      </c>
      <c r="G13" t="s">
        <v>29</v>
      </c>
      <c r="H13" t="s">
        <v>30</v>
      </c>
      <c r="I13" s="12">
        <v>3.71</v>
      </c>
      <c r="J13" s="12">
        <v>0.33</v>
      </c>
      <c r="K13" s="16">
        <v>92.75</v>
      </c>
      <c r="L13" s="16">
        <v>11</v>
      </c>
      <c r="M13" s="16">
        <v>0.5</v>
      </c>
      <c r="N13" s="16">
        <v>5</v>
      </c>
      <c r="O13" s="16">
        <v>109.25</v>
      </c>
      <c r="P13" t="s">
        <v>34</v>
      </c>
      <c r="Q13" t="s">
        <v>24</v>
      </c>
    </row>
    <row r="14" spans="1:17">
      <c r="A14" t="s">
        <v>53</v>
      </c>
      <c r="B14" s="14">
        <v>46220</v>
      </c>
      <c r="C14">
        <v>29</v>
      </c>
      <c r="D14" t="s">
        <v>18</v>
      </c>
      <c r="E14" t="s">
        <v>19</v>
      </c>
      <c r="F14" t="s">
        <v>33</v>
      </c>
      <c r="G14" t="s">
        <v>21</v>
      </c>
      <c r="H14" t="s">
        <v>45</v>
      </c>
      <c r="I14" s="12">
        <v>3.88</v>
      </c>
      <c r="J14" s="12">
        <v>0</v>
      </c>
      <c r="K14" s="16">
        <v>97</v>
      </c>
      <c r="L14" s="16">
        <v>11</v>
      </c>
      <c r="M14" s="16">
        <v>0.5</v>
      </c>
      <c r="N14" s="16">
        <v>5</v>
      </c>
      <c r="O14" s="16">
        <v>113.5</v>
      </c>
      <c r="P14" t="s">
        <v>34</v>
      </c>
      <c r="Q14" t="s">
        <v>38</v>
      </c>
    </row>
    <row r="15" spans="1:17">
      <c r="A15" t="s">
        <v>54</v>
      </c>
      <c r="B15" s="14">
        <v>46217</v>
      </c>
      <c r="C15">
        <v>29</v>
      </c>
      <c r="D15" t="s">
        <v>26</v>
      </c>
      <c r="E15" t="s">
        <v>27</v>
      </c>
      <c r="F15" t="s">
        <v>28</v>
      </c>
      <c r="G15" t="s">
        <v>29</v>
      </c>
      <c r="H15" t="s">
        <v>22</v>
      </c>
      <c r="I15" s="12">
        <v>0.5</v>
      </c>
      <c r="J15" s="12">
        <v>1.24</v>
      </c>
      <c r="K15" s="16">
        <v>12.5</v>
      </c>
      <c r="L15" s="16">
        <v>11</v>
      </c>
      <c r="M15" s="16">
        <v>0.5</v>
      </c>
      <c r="N15" s="16">
        <v>5</v>
      </c>
      <c r="O15" s="16">
        <v>29</v>
      </c>
      <c r="P15" t="s">
        <v>23</v>
      </c>
      <c r="Q15" t="s">
        <v>38</v>
      </c>
    </row>
    <row r="16" spans="1:17">
      <c r="A16" t="s">
        <v>55</v>
      </c>
      <c r="B16" s="14">
        <v>46223</v>
      </c>
      <c r="C16">
        <v>30</v>
      </c>
      <c r="D16" t="s">
        <v>32</v>
      </c>
      <c r="E16" t="s">
        <v>19</v>
      </c>
      <c r="F16" t="s">
        <v>28</v>
      </c>
      <c r="G16" t="s">
        <v>29</v>
      </c>
      <c r="H16" t="s">
        <v>22</v>
      </c>
      <c r="I16" s="12">
        <v>0.78</v>
      </c>
      <c r="J16" s="12">
        <v>0</v>
      </c>
      <c r="K16" s="16">
        <v>19.5</v>
      </c>
      <c r="L16" s="16">
        <v>11</v>
      </c>
      <c r="M16" s="16">
        <v>0.5</v>
      </c>
      <c r="N16" s="16">
        <v>5</v>
      </c>
      <c r="O16" s="16">
        <v>36</v>
      </c>
      <c r="P16" t="s">
        <v>23</v>
      </c>
      <c r="Q16" t="s">
        <v>38</v>
      </c>
    </row>
    <row r="17" spans="1:17">
      <c r="A17" t="s">
        <v>56</v>
      </c>
      <c r="B17" s="14">
        <v>46230</v>
      </c>
      <c r="C17">
        <v>31</v>
      </c>
      <c r="D17" t="s">
        <v>36</v>
      </c>
      <c r="E17" t="s">
        <v>27</v>
      </c>
      <c r="F17" t="s">
        <v>33</v>
      </c>
      <c r="G17" t="s">
        <v>21</v>
      </c>
      <c r="H17" t="s">
        <v>30</v>
      </c>
      <c r="I17" s="12">
        <v>2.84</v>
      </c>
      <c r="J17" s="12">
        <v>0.48</v>
      </c>
      <c r="K17" s="16">
        <v>71</v>
      </c>
      <c r="L17" s="16">
        <v>11</v>
      </c>
      <c r="M17" s="16">
        <v>0.5</v>
      </c>
      <c r="N17" s="16">
        <v>5</v>
      </c>
      <c r="O17" s="16">
        <v>87.5</v>
      </c>
      <c r="P17" t="s">
        <v>34</v>
      </c>
      <c r="Q17" t="s">
        <v>24</v>
      </c>
    </row>
    <row r="18" spans="1:17">
      <c r="A18" t="s">
        <v>57</v>
      </c>
      <c r="B18" s="14">
        <v>46219</v>
      </c>
      <c r="C18">
        <v>29</v>
      </c>
      <c r="D18" t="s">
        <v>40</v>
      </c>
      <c r="E18" t="s">
        <v>19</v>
      </c>
      <c r="F18" t="s">
        <v>28</v>
      </c>
      <c r="G18" t="s">
        <v>21</v>
      </c>
      <c r="H18" t="s">
        <v>37</v>
      </c>
      <c r="I18" s="12">
        <v>2.98</v>
      </c>
      <c r="J18" s="12">
        <v>0.67</v>
      </c>
      <c r="K18" s="16">
        <v>74.5</v>
      </c>
      <c r="L18" s="16">
        <v>11</v>
      </c>
      <c r="M18" s="16">
        <v>0.5</v>
      </c>
      <c r="N18" s="16">
        <v>5</v>
      </c>
      <c r="O18" s="16">
        <v>91</v>
      </c>
      <c r="P18" t="s">
        <v>23</v>
      </c>
      <c r="Q18" t="s">
        <v>24</v>
      </c>
    </row>
    <row r="19" spans="1:17">
      <c r="A19" t="s">
        <v>58</v>
      </c>
      <c r="B19" s="14">
        <v>46225</v>
      </c>
      <c r="C19">
        <v>30</v>
      </c>
      <c r="D19" t="s">
        <v>43</v>
      </c>
      <c r="E19" t="s">
        <v>27</v>
      </c>
      <c r="F19" t="s">
        <v>28</v>
      </c>
      <c r="G19" t="s">
        <v>50</v>
      </c>
      <c r="H19" t="s">
        <v>41</v>
      </c>
      <c r="I19" s="12">
        <v>4.47</v>
      </c>
      <c r="J19" s="12">
        <v>0</v>
      </c>
      <c r="K19" s="16">
        <v>111.75</v>
      </c>
      <c r="L19" s="16">
        <v>11</v>
      </c>
      <c r="M19" s="16">
        <v>0.5</v>
      </c>
      <c r="N19" s="16">
        <v>5</v>
      </c>
      <c r="O19" s="16">
        <v>128.25</v>
      </c>
      <c r="P19" t="s">
        <v>23</v>
      </c>
      <c r="Q19" t="s">
        <v>24</v>
      </c>
    </row>
    <row r="20" spans="1:17">
      <c r="A20" t="s">
        <v>59</v>
      </c>
      <c r="B20" s="14">
        <v>46227</v>
      </c>
      <c r="C20">
        <v>30</v>
      </c>
      <c r="D20" t="s">
        <v>18</v>
      </c>
      <c r="E20" t="s">
        <v>19</v>
      </c>
      <c r="F20" t="s">
        <v>28</v>
      </c>
      <c r="G20" t="s">
        <v>21</v>
      </c>
      <c r="H20" t="s">
        <v>41</v>
      </c>
      <c r="I20" s="12">
        <v>4.13</v>
      </c>
      <c r="J20" s="12">
        <v>0.43</v>
      </c>
      <c r="K20" s="16">
        <v>103.25</v>
      </c>
      <c r="L20" s="16">
        <v>11</v>
      </c>
      <c r="M20" s="16">
        <v>0.5</v>
      </c>
      <c r="N20" s="16">
        <v>5</v>
      </c>
      <c r="O20" s="16">
        <v>119.75</v>
      </c>
      <c r="P20" t="s">
        <v>23</v>
      </c>
      <c r="Q20" t="s">
        <v>24</v>
      </c>
    </row>
    <row r="21" spans="1:17">
      <c r="A21" t="s">
        <v>60</v>
      </c>
      <c r="B21" s="14">
        <v>46216</v>
      </c>
      <c r="C21">
        <v>29</v>
      </c>
      <c r="D21" t="s">
        <v>26</v>
      </c>
      <c r="E21" t="s">
        <v>27</v>
      </c>
      <c r="F21" t="s">
        <v>33</v>
      </c>
      <c r="G21" t="s">
        <v>29</v>
      </c>
      <c r="H21" t="s">
        <v>22</v>
      </c>
      <c r="I21" s="12">
        <v>0.85</v>
      </c>
      <c r="J21" s="12">
        <v>0</v>
      </c>
      <c r="K21" s="16">
        <v>21.25</v>
      </c>
      <c r="L21" s="16">
        <v>11</v>
      </c>
      <c r="M21" s="16">
        <v>0.5</v>
      </c>
      <c r="N21" s="16">
        <v>5</v>
      </c>
      <c r="O21" s="16">
        <v>37.75</v>
      </c>
      <c r="P21" t="s">
        <v>23</v>
      </c>
      <c r="Q21" t="s">
        <v>24</v>
      </c>
    </row>
    <row r="22" spans="1:17">
      <c r="A22" t="s">
        <v>61</v>
      </c>
      <c r="B22" s="14">
        <v>46230</v>
      </c>
      <c r="C22">
        <v>31</v>
      </c>
      <c r="D22" t="s">
        <v>32</v>
      </c>
      <c r="E22" t="s">
        <v>19</v>
      </c>
      <c r="F22" t="s">
        <v>28</v>
      </c>
      <c r="G22" t="s">
        <v>21</v>
      </c>
      <c r="H22" t="s">
        <v>37</v>
      </c>
      <c r="I22" s="12">
        <v>3.49</v>
      </c>
      <c r="J22" s="12">
        <v>0</v>
      </c>
      <c r="K22" s="16">
        <v>87.25</v>
      </c>
      <c r="L22" s="16">
        <v>11</v>
      </c>
      <c r="M22" s="16">
        <v>0.5</v>
      </c>
      <c r="N22" s="16">
        <v>5</v>
      </c>
      <c r="O22" s="16">
        <v>103.75</v>
      </c>
      <c r="P22" t="s">
        <v>23</v>
      </c>
      <c r="Q22" t="s">
        <v>38</v>
      </c>
    </row>
    <row r="23" spans="1:17">
      <c r="A23" t="s">
        <v>62</v>
      </c>
      <c r="B23" s="14">
        <v>46217</v>
      </c>
      <c r="C23">
        <v>29</v>
      </c>
      <c r="D23" t="s">
        <v>36</v>
      </c>
      <c r="E23" t="s">
        <v>27</v>
      </c>
      <c r="F23" t="s">
        <v>20</v>
      </c>
      <c r="G23" t="s">
        <v>29</v>
      </c>
      <c r="H23" t="s">
        <v>37</v>
      </c>
      <c r="I23" s="12">
        <v>3.75</v>
      </c>
      <c r="J23" s="12">
        <v>1.67</v>
      </c>
      <c r="K23" s="16">
        <v>93.75</v>
      </c>
      <c r="L23" s="16">
        <v>11</v>
      </c>
      <c r="M23" s="16">
        <v>0.5</v>
      </c>
      <c r="N23" s="16">
        <v>5</v>
      </c>
      <c r="O23" s="16">
        <v>110.25</v>
      </c>
      <c r="P23" t="s">
        <v>23</v>
      </c>
      <c r="Q23" t="s">
        <v>24</v>
      </c>
    </row>
    <row r="24" spans="1:17">
      <c r="A24" t="s">
        <v>63</v>
      </c>
      <c r="B24" s="14">
        <v>46219</v>
      </c>
      <c r="C24">
        <v>29</v>
      </c>
      <c r="D24" t="s">
        <v>40</v>
      </c>
      <c r="E24" t="s">
        <v>19</v>
      </c>
      <c r="F24" t="s">
        <v>33</v>
      </c>
      <c r="G24" t="s">
        <v>29</v>
      </c>
      <c r="H24" t="s">
        <v>64</v>
      </c>
      <c r="I24" s="12">
        <v>5.08</v>
      </c>
      <c r="J24" s="12">
        <v>0</v>
      </c>
      <c r="K24" s="16">
        <v>127</v>
      </c>
      <c r="L24" s="16">
        <v>11</v>
      </c>
      <c r="M24" s="16">
        <v>0.5</v>
      </c>
      <c r="N24" s="16">
        <v>5</v>
      </c>
      <c r="O24" s="16">
        <v>143.5</v>
      </c>
      <c r="P24" t="s">
        <v>23</v>
      </c>
      <c r="Q24" t="s">
        <v>24</v>
      </c>
    </row>
    <row r="25" spans="1:17">
      <c r="A25" t="s">
        <v>65</v>
      </c>
      <c r="B25" s="14">
        <v>46224</v>
      </c>
      <c r="C25">
        <v>30</v>
      </c>
      <c r="D25" t="s">
        <v>43</v>
      </c>
      <c r="E25" t="s">
        <v>27</v>
      </c>
      <c r="F25" t="s">
        <v>28</v>
      </c>
      <c r="G25" t="s">
        <v>21</v>
      </c>
      <c r="H25" t="s">
        <v>41</v>
      </c>
      <c r="I25" s="12">
        <v>4.43</v>
      </c>
      <c r="J25" s="12">
        <v>0.44</v>
      </c>
      <c r="K25" s="16">
        <v>110.75</v>
      </c>
      <c r="L25" s="16">
        <v>11</v>
      </c>
      <c r="M25" s="16">
        <v>0.5</v>
      </c>
      <c r="N25" s="16">
        <v>5</v>
      </c>
      <c r="O25" s="16">
        <v>127.25</v>
      </c>
      <c r="P25" t="s">
        <v>23</v>
      </c>
      <c r="Q25" t="s">
        <v>38</v>
      </c>
    </row>
    <row r="26" spans="1:17">
      <c r="A26" t="s">
        <v>66</v>
      </c>
      <c r="B26" s="14">
        <v>46223</v>
      </c>
      <c r="C26">
        <v>30</v>
      </c>
      <c r="D26" t="s">
        <v>18</v>
      </c>
      <c r="E26" t="s">
        <v>19</v>
      </c>
      <c r="F26" t="s">
        <v>28</v>
      </c>
      <c r="G26" t="s">
        <v>21</v>
      </c>
      <c r="H26" t="s">
        <v>64</v>
      </c>
      <c r="I26" s="12">
        <v>5.21</v>
      </c>
      <c r="J26" s="12">
        <v>0.28</v>
      </c>
      <c r="K26" s="16">
        <v>130.25</v>
      </c>
      <c r="L26" s="16">
        <v>11</v>
      </c>
      <c r="M26" s="16">
        <v>0.5</v>
      </c>
      <c r="N26" s="16">
        <v>5</v>
      </c>
      <c r="O26" s="16">
        <v>146.75</v>
      </c>
      <c r="P26" t="s">
        <v>23</v>
      </c>
      <c r="Q26" t="s">
        <v>24</v>
      </c>
    </row>
    <row r="27" spans="1:17">
      <c r="A27" t="s">
        <v>67</v>
      </c>
      <c r="B27" s="14">
        <v>46217</v>
      </c>
      <c r="C27">
        <v>29</v>
      </c>
      <c r="D27" t="s">
        <v>26</v>
      </c>
      <c r="E27" t="s">
        <v>27</v>
      </c>
      <c r="F27" t="s">
        <v>28</v>
      </c>
      <c r="G27" t="s">
        <v>21</v>
      </c>
      <c r="H27" t="s">
        <v>64</v>
      </c>
      <c r="I27" s="12">
        <v>4.64</v>
      </c>
      <c r="J27" s="12">
        <v>0</v>
      </c>
      <c r="K27" s="16">
        <v>116</v>
      </c>
      <c r="L27" s="16">
        <v>11</v>
      </c>
      <c r="M27" s="16">
        <v>0.5</v>
      </c>
      <c r="N27" s="16">
        <v>5</v>
      </c>
      <c r="O27" s="16">
        <v>132.5</v>
      </c>
      <c r="P27" t="s">
        <v>23</v>
      </c>
      <c r="Q27" t="s">
        <v>24</v>
      </c>
    </row>
    <row r="28" spans="1:17">
      <c r="A28" t="s">
        <v>68</v>
      </c>
      <c r="B28" s="14">
        <v>46219</v>
      </c>
      <c r="C28">
        <v>29</v>
      </c>
      <c r="D28" t="s">
        <v>32</v>
      </c>
      <c r="E28" t="s">
        <v>19</v>
      </c>
      <c r="F28" t="s">
        <v>33</v>
      </c>
      <c r="G28" t="s">
        <v>21</v>
      </c>
      <c r="H28" t="s">
        <v>64</v>
      </c>
      <c r="I28" s="12">
        <v>4.21</v>
      </c>
      <c r="J28" s="12">
        <v>0</v>
      </c>
      <c r="K28" s="16">
        <v>105.25</v>
      </c>
      <c r="L28" s="16">
        <v>11</v>
      </c>
      <c r="M28" s="16">
        <v>0.5</v>
      </c>
      <c r="N28" s="16">
        <v>5</v>
      </c>
      <c r="O28" s="16">
        <v>121.75</v>
      </c>
      <c r="P28" t="s">
        <v>34</v>
      </c>
      <c r="Q28" t="s">
        <v>38</v>
      </c>
    </row>
    <row r="29" spans="1:17">
      <c r="A29" t="s">
        <v>69</v>
      </c>
      <c r="B29" s="14">
        <v>46216</v>
      </c>
      <c r="C29">
        <v>29</v>
      </c>
      <c r="D29" t="s">
        <v>36</v>
      </c>
      <c r="E29" t="s">
        <v>27</v>
      </c>
      <c r="F29" t="s">
        <v>28</v>
      </c>
      <c r="G29" t="s">
        <v>70</v>
      </c>
      <c r="H29" t="s">
        <v>41</v>
      </c>
      <c r="I29" s="12">
        <v>4.67</v>
      </c>
      <c r="J29" s="12">
        <v>0.96</v>
      </c>
      <c r="K29" s="16">
        <v>116.75</v>
      </c>
      <c r="L29" s="16">
        <v>11</v>
      </c>
      <c r="M29" s="16">
        <v>0.5</v>
      </c>
      <c r="N29" s="16">
        <v>5</v>
      </c>
      <c r="O29" s="16">
        <v>133.25</v>
      </c>
      <c r="P29" t="s">
        <v>23</v>
      </c>
      <c r="Q29" t="s">
        <v>38</v>
      </c>
    </row>
    <row r="30" spans="1:17">
      <c r="A30" t="s">
        <v>71</v>
      </c>
      <c r="B30" s="14">
        <v>46224</v>
      </c>
      <c r="C30">
        <v>30</v>
      </c>
      <c r="D30" t="s">
        <v>40</v>
      </c>
      <c r="E30" t="s">
        <v>19</v>
      </c>
      <c r="F30" t="s">
        <v>28</v>
      </c>
      <c r="G30" t="s">
        <v>29</v>
      </c>
      <c r="H30" t="s">
        <v>30</v>
      </c>
      <c r="I30" s="12">
        <v>2.54</v>
      </c>
      <c r="J30" s="12">
        <v>1.46</v>
      </c>
      <c r="K30" s="16">
        <v>63.5</v>
      </c>
      <c r="L30" s="16">
        <v>11</v>
      </c>
      <c r="M30" s="16">
        <v>0.5</v>
      </c>
      <c r="N30" s="16">
        <v>5</v>
      </c>
      <c r="O30" s="16">
        <v>80</v>
      </c>
      <c r="P30" t="s">
        <v>23</v>
      </c>
      <c r="Q30" t="s">
        <v>38</v>
      </c>
    </row>
    <row r="31" spans="1:17">
      <c r="A31" t="s">
        <v>72</v>
      </c>
      <c r="B31" s="14">
        <v>46226</v>
      </c>
      <c r="C31">
        <v>30</v>
      </c>
      <c r="D31" t="s">
        <v>43</v>
      </c>
      <c r="E31" t="s">
        <v>27</v>
      </c>
      <c r="F31" t="s">
        <v>44</v>
      </c>
      <c r="G31" t="s">
        <v>21</v>
      </c>
      <c r="H31" t="s">
        <v>30</v>
      </c>
      <c r="I31" s="12">
        <v>3.5</v>
      </c>
      <c r="J31" s="12">
        <v>0.41</v>
      </c>
      <c r="K31" s="16">
        <v>87.5</v>
      </c>
      <c r="L31" s="16">
        <v>11</v>
      </c>
      <c r="M31" s="16">
        <v>0.5</v>
      </c>
      <c r="N31" s="16">
        <v>5</v>
      </c>
      <c r="O31" s="16">
        <v>104</v>
      </c>
      <c r="P31" t="s">
        <v>23</v>
      </c>
      <c r="Q31" t="s">
        <v>24</v>
      </c>
    </row>
    <row r="32" spans="1:17">
      <c r="A32" t="s">
        <v>73</v>
      </c>
      <c r="B32" s="14">
        <v>46219</v>
      </c>
      <c r="C32">
        <v>29</v>
      </c>
      <c r="D32" t="s">
        <v>18</v>
      </c>
      <c r="E32" t="s">
        <v>19</v>
      </c>
      <c r="F32" t="s">
        <v>33</v>
      </c>
      <c r="G32" t="s">
        <v>29</v>
      </c>
      <c r="H32" t="s">
        <v>37</v>
      </c>
      <c r="I32" s="12">
        <v>4.2</v>
      </c>
      <c r="J32" s="12">
        <v>0.78</v>
      </c>
      <c r="K32" s="16">
        <v>105</v>
      </c>
      <c r="L32" s="16">
        <v>11</v>
      </c>
      <c r="M32" s="16">
        <v>0.5</v>
      </c>
      <c r="N32" s="16">
        <v>5</v>
      </c>
      <c r="O32" s="16">
        <v>121.5</v>
      </c>
      <c r="P32" t="s">
        <v>34</v>
      </c>
      <c r="Q32" t="s">
        <v>24</v>
      </c>
    </row>
    <row r="33" spans="1:17">
      <c r="A33" t="s">
        <v>74</v>
      </c>
      <c r="B33" s="14">
        <v>46225</v>
      </c>
      <c r="C33">
        <v>30</v>
      </c>
      <c r="D33" t="s">
        <v>26</v>
      </c>
      <c r="E33" t="s">
        <v>27</v>
      </c>
      <c r="F33" t="s">
        <v>44</v>
      </c>
      <c r="G33" t="s">
        <v>21</v>
      </c>
      <c r="H33" t="s">
        <v>41</v>
      </c>
      <c r="I33" s="12">
        <v>4.42</v>
      </c>
      <c r="J33" s="12">
        <v>0.56</v>
      </c>
      <c r="K33" s="16">
        <v>110.5</v>
      </c>
      <c r="L33" s="16">
        <v>11</v>
      </c>
      <c r="M33" s="16">
        <v>0.5</v>
      </c>
      <c r="N33" s="16">
        <v>5</v>
      </c>
      <c r="O33" s="16">
        <v>127</v>
      </c>
      <c r="P33" t="s">
        <v>23</v>
      </c>
      <c r="Q33" t="s">
        <v>24</v>
      </c>
    </row>
    <row r="34" spans="1:17">
      <c r="A34" t="s">
        <v>75</v>
      </c>
      <c r="B34" s="14">
        <v>46226</v>
      </c>
      <c r="C34">
        <v>30</v>
      </c>
      <c r="D34" t="s">
        <v>32</v>
      </c>
      <c r="E34" t="s">
        <v>19</v>
      </c>
      <c r="F34" t="s">
        <v>20</v>
      </c>
      <c r="G34" t="s">
        <v>29</v>
      </c>
      <c r="H34" t="s">
        <v>22</v>
      </c>
      <c r="I34" s="12">
        <v>0.5</v>
      </c>
      <c r="J34" s="12">
        <v>0</v>
      </c>
      <c r="K34" s="16">
        <v>12.5</v>
      </c>
      <c r="L34" s="16">
        <v>11</v>
      </c>
      <c r="M34" s="16">
        <v>0.5</v>
      </c>
      <c r="N34" s="16">
        <v>5</v>
      </c>
      <c r="O34" s="16">
        <v>29</v>
      </c>
      <c r="P34" t="s">
        <v>23</v>
      </c>
      <c r="Q34" t="s">
        <v>24</v>
      </c>
    </row>
    <row r="35" spans="1:17">
      <c r="A35" t="s">
        <v>76</v>
      </c>
      <c r="B35" s="14">
        <v>46218</v>
      </c>
      <c r="C35">
        <v>29</v>
      </c>
      <c r="D35" t="s">
        <v>36</v>
      </c>
      <c r="E35" t="s">
        <v>27</v>
      </c>
      <c r="F35" t="s">
        <v>20</v>
      </c>
      <c r="G35" t="s">
        <v>29</v>
      </c>
      <c r="H35" t="s">
        <v>37</v>
      </c>
      <c r="I35" s="12">
        <v>3.07</v>
      </c>
      <c r="J35" s="12">
        <v>0.33</v>
      </c>
      <c r="K35" s="16">
        <v>76.75</v>
      </c>
      <c r="L35" s="16">
        <v>11</v>
      </c>
      <c r="M35" s="16">
        <v>0.5</v>
      </c>
      <c r="N35" s="16">
        <v>5</v>
      </c>
      <c r="O35" s="16">
        <v>93.25</v>
      </c>
      <c r="P35" t="s">
        <v>23</v>
      </c>
      <c r="Q35" t="s">
        <v>24</v>
      </c>
    </row>
    <row r="36" spans="1:17">
      <c r="A36" t="s">
        <v>77</v>
      </c>
      <c r="B36" s="14">
        <v>46216</v>
      </c>
      <c r="C36">
        <v>29</v>
      </c>
      <c r="D36" t="s">
        <v>40</v>
      </c>
      <c r="E36" t="s">
        <v>19</v>
      </c>
      <c r="F36" t="s">
        <v>28</v>
      </c>
      <c r="G36" t="s">
        <v>21</v>
      </c>
      <c r="H36" t="s">
        <v>41</v>
      </c>
      <c r="I36" s="12">
        <v>4.28</v>
      </c>
      <c r="J36" s="12">
        <v>1.53</v>
      </c>
      <c r="K36" s="16">
        <v>107</v>
      </c>
      <c r="L36" s="16">
        <v>11</v>
      </c>
      <c r="M36" s="16">
        <v>0.5</v>
      </c>
      <c r="N36" s="16">
        <v>5</v>
      </c>
      <c r="O36" s="16">
        <v>123.5</v>
      </c>
      <c r="P36" t="s">
        <v>23</v>
      </c>
      <c r="Q36" t="s">
        <v>24</v>
      </c>
    </row>
    <row r="37" spans="1:17">
      <c r="A37" t="s">
        <v>78</v>
      </c>
      <c r="B37" s="14">
        <v>46216</v>
      </c>
      <c r="C37">
        <v>29</v>
      </c>
      <c r="D37" t="s">
        <v>43</v>
      </c>
      <c r="E37" t="s">
        <v>27</v>
      </c>
      <c r="F37" t="s">
        <v>20</v>
      </c>
      <c r="G37" t="s">
        <v>21</v>
      </c>
      <c r="H37" t="s">
        <v>37</v>
      </c>
      <c r="I37" s="12">
        <v>4.05</v>
      </c>
      <c r="J37" s="12">
        <v>0.55</v>
      </c>
      <c r="K37" s="16">
        <v>101.25</v>
      </c>
      <c r="L37" s="16">
        <v>11</v>
      </c>
      <c r="M37" s="16">
        <v>0.5</v>
      </c>
      <c r="N37" s="16">
        <v>5</v>
      </c>
      <c r="O37" s="16">
        <v>117.75</v>
      </c>
      <c r="P37" t="s">
        <v>23</v>
      </c>
      <c r="Q37" t="s">
        <v>24</v>
      </c>
    </row>
    <row r="38" spans="1:17">
      <c r="A38" t="s">
        <v>79</v>
      </c>
      <c r="B38" s="14">
        <v>46219</v>
      </c>
      <c r="C38">
        <v>29</v>
      </c>
      <c r="D38" t="s">
        <v>18</v>
      </c>
      <c r="E38" t="s">
        <v>19</v>
      </c>
      <c r="F38" t="s">
        <v>44</v>
      </c>
      <c r="G38" t="s">
        <v>21</v>
      </c>
      <c r="H38" t="s">
        <v>30</v>
      </c>
      <c r="I38" s="12">
        <v>3.32</v>
      </c>
      <c r="J38" s="12">
        <v>0</v>
      </c>
      <c r="K38" s="16">
        <v>83</v>
      </c>
      <c r="L38" s="16">
        <v>11</v>
      </c>
      <c r="M38" s="16">
        <v>0.5</v>
      </c>
      <c r="N38" s="16">
        <v>5</v>
      </c>
      <c r="O38" s="16">
        <v>99.5</v>
      </c>
      <c r="P38" t="s">
        <v>34</v>
      </c>
      <c r="Q38" t="s">
        <v>24</v>
      </c>
    </row>
    <row r="39" spans="1:17">
      <c r="A39" t="s">
        <v>80</v>
      </c>
      <c r="B39" s="14">
        <v>46218</v>
      </c>
      <c r="C39">
        <v>29</v>
      </c>
      <c r="D39" t="s">
        <v>26</v>
      </c>
      <c r="E39" t="s">
        <v>27</v>
      </c>
      <c r="F39" t="s">
        <v>28</v>
      </c>
      <c r="G39" t="s">
        <v>29</v>
      </c>
      <c r="H39" t="s">
        <v>22</v>
      </c>
      <c r="I39" s="12">
        <v>0.64</v>
      </c>
      <c r="J39" s="12">
        <v>1.45</v>
      </c>
      <c r="K39" s="16">
        <v>16</v>
      </c>
      <c r="L39" s="16">
        <v>11</v>
      </c>
      <c r="M39" s="16">
        <v>0.5</v>
      </c>
      <c r="N39" s="16">
        <v>5</v>
      </c>
      <c r="O39" s="16">
        <v>32.5</v>
      </c>
      <c r="P39" t="s">
        <v>23</v>
      </c>
      <c r="Q39" t="s">
        <v>24</v>
      </c>
    </row>
    <row r="40" spans="1:17">
      <c r="A40" t="s">
        <v>81</v>
      </c>
      <c r="B40" s="14">
        <v>46218</v>
      </c>
      <c r="C40">
        <v>29</v>
      </c>
      <c r="D40" t="s">
        <v>32</v>
      </c>
      <c r="E40" t="s">
        <v>19</v>
      </c>
      <c r="F40" t="s">
        <v>33</v>
      </c>
      <c r="G40" t="s">
        <v>50</v>
      </c>
      <c r="H40" t="s">
        <v>41</v>
      </c>
      <c r="I40" s="12">
        <v>4.47</v>
      </c>
      <c r="J40" s="12">
        <v>1.07</v>
      </c>
      <c r="K40" s="16">
        <v>111.75</v>
      </c>
      <c r="L40" s="16">
        <v>11</v>
      </c>
      <c r="M40" s="16">
        <v>0.5</v>
      </c>
      <c r="N40" s="16">
        <v>5</v>
      </c>
      <c r="O40" s="16">
        <v>128.25</v>
      </c>
      <c r="P40" t="s">
        <v>34</v>
      </c>
      <c r="Q40" t="s">
        <v>24</v>
      </c>
    </row>
    <row r="41" spans="1:17">
      <c r="A41" t="s">
        <v>82</v>
      </c>
      <c r="B41" s="14">
        <v>46220</v>
      </c>
      <c r="C41">
        <v>29</v>
      </c>
      <c r="D41" t="s">
        <v>36</v>
      </c>
      <c r="E41" t="s">
        <v>27</v>
      </c>
      <c r="F41" t="s">
        <v>20</v>
      </c>
      <c r="G41" t="s">
        <v>29</v>
      </c>
      <c r="H41" t="s">
        <v>41</v>
      </c>
      <c r="I41" s="12">
        <v>4.34</v>
      </c>
      <c r="J41" s="12">
        <v>0</v>
      </c>
      <c r="K41" s="16">
        <v>108.5</v>
      </c>
      <c r="L41" s="16">
        <v>11</v>
      </c>
      <c r="M41" s="16">
        <v>0.5</v>
      </c>
      <c r="N41" s="16">
        <v>5</v>
      </c>
      <c r="O41" s="16">
        <v>125</v>
      </c>
      <c r="P41" t="s">
        <v>23</v>
      </c>
      <c r="Q41" t="s">
        <v>24</v>
      </c>
    </row>
    <row r="42" spans="1:17">
      <c r="A42" t="s">
        <v>83</v>
      </c>
      <c r="B42" s="14">
        <v>46218</v>
      </c>
      <c r="C42">
        <v>29</v>
      </c>
      <c r="D42" t="s">
        <v>40</v>
      </c>
      <c r="E42" t="s">
        <v>19</v>
      </c>
      <c r="F42" t="s">
        <v>28</v>
      </c>
      <c r="G42" t="s">
        <v>21</v>
      </c>
      <c r="H42" t="s">
        <v>64</v>
      </c>
      <c r="I42" s="12">
        <v>4.67</v>
      </c>
      <c r="J42" s="12">
        <v>0</v>
      </c>
      <c r="K42" s="16">
        <v>116.75</v>
      </c>
      <c r="L42" s="16">
        <v>11</v>
      </c>
      <c r="M42" s="16">
        <v>0.5</v>
      </c>
      <c r="N42" s="16">
        <v>5</v>
      </c>
      <c r="O42" s="16">
        <v>133.25</v>
      </c>
      <c r="P42" t="s">
        <v>23</v>
      </c>
      <c r="Q42" t="s">
        <v>24</v>
      </c>
    </row>
    <row r="43" spans="1:17">
      <c r="A43" t="s">
        <v>84</v>
      </c>
      <c r="B43" s="14">
        <v>46225</v>
      </c>
      <c r="C43">
        <v>30</v>
      </c>
      <c r="D43" t="s">
        <v>43</v>
      </c>
      <c r="E43" t="s">
        <v>27</v>
      </c>
      <c r="F43" t="s">
        <v>28</v>
      </c>
      <c r="G43" t="s">
        <v>29</v>
      </c>
      <c r="H43" t="s">
        <v>22</v>
      </c>
      <c r="I43" s="12">
        <v>0.96</v>
      </c>
      <c r="J43" s="12">
        <v>1.19</v>
      </c>
      <c r="K43" s="16">
        <v>24</v>
      </c>
      <c r="L43" s="16">
        <v>11</v>
      </c>
      <c r="M43" s="16">
        <v>0.5</v>
      </c>
      <c r="N43" s="16">
        <v>5</v>
      </c>
      <c r="O43" s="16">
        <v>40.5</v>
      </c>
      <c r="P43" t="s">
        <v>23</v>
      </c>
      <c r="Q43" t="s">
        <v>24</v>
      </c>
    </row>
    <row r="44" spans="1:17">
      <c r="A44" t="s">
        <v>85</v>
      </c>
      <c r="B44" s="14">
        <v>46226</v>
      </c>
      <c r="C44">
        <v>30</v>
      </c>
      <c r="D44" t="s">
        <v>18</v>
      </c>
      <c r="E44" t="s">
        <v>19</v>
      </c>
      <c r="F44" t="s">
        <v>44</v>
      </c>
      <c r="G44" t="s">
        <v>29</v>
      </c>
      <c r="H44" t="s">
        <v>30</v>
      </c>
      <c r="I44" s="12">
        <v>2.52</v>
      </c>
      <c r="J44" s="12">
        <v>1.46</v>
      </c>
      <c r="K44" s="16">
        <v>63</v>
      </c>
      <c r="L44" s="16">
        <v>11</v>
      </c>
      <c r="M44" s="16">
        <v>0.5</v>
      </c>
      <c r="N44" s="16">
        <v>5</v>
      </c>
      <c r="O44" s="16">
        <v>79.5</v>
      </c>
      <c r="P44" t="s">
        <v>34</v>
      </c>
      <c r="Q44" t="s">
        <v>24</v>
      </c>
    </row>
    <row r="45" spans="1:17">
      <c r="A45" t="s">
        <v>86</v>
      </c>
      <c r="B45" s="14">
        <v>46220</v>
      </c>
      <c r="C45">
        <v>29</v>
      </c>
      <c r="D45" t="s">
        <v>26</v>
      </c>
      <c r="E45" t="s">
        <v>27</v>
      </c>
      <c r="F45" t="s">
        <v>44</v>
      </c>
      <c r="G45" t="s">
        <v>50</v>
      </c>
      <c r="H45" t="s">
        <v>22</v>
      </c>
      <c r="I45" s="12">
        <v>0.78</v>
      </c>
      <c r="J45" s="12">
        <v>0.72</v>
      </c>
      <c r="K45" s="16">
        <v>19.5</v>
      </c>
      <c r="L45" s="16">
        <v>11</v>
      </c>
      <c r="M45" s="16">
        <v>0.5</v>
      </c>
      <c r="N45" s="16">
        <v>5</v>
      </c>
      <c r="O45" s="16">
        <v>36</v>
      </c>
      <c r="P45" t="s">
        <v>34</v>
      </c>
      <c r="Q45" t="s">
        <v>24</v>
      </c>
    </row>
    <row r="46" spans="1:17">
      <c r="A46" t="s">
        <v>87</v>
      </c>
      <c r="B46" s="14">
        <v>46220</v>
      </c>
      <c r="C46">
        <v>29</v>
      </c>
      <c r="D46" t="s">
        <v>32</v>
      </c>
      <c r="E46" t="s">
        <v>19</v>
      </c>
      <c r="F46" t="s">
        <v>44</v>
      </c>
      <c r="G46" t="s">
        <v>29</v>
      </c>
      <c r="H46" t="s">
        <v>41</v>
      </c>
      <c r="I46" s="12">
        <v>3.54</v>
      </c>
      <c r="J46" s="12">
        <v>0</v>
      </c>
      <c r="K46" s="16">
        <v>88.5</v>
      </c>
      <c r="L46" s="16">
        <v>11</v>
      </c>
      <c r="M46" s="16">
        <v>0.5</v>
      </c>
      <c r="N46" s="16">
        <v>5</v>
      </c>
      <c r="O46" s="16">
        <v>105</v>
      </c>
      <c r="P46" t="s">
        <v>34</v>
      </c>
      <c r="Q46" t="s">
        <v>24</v>
      </c>
    </row>
    <row r="47" spans="1:17">
      <c r="A47" t="s">
        <v>88</v>
      </c>
      <c r="B47" s="14">
        <v>46223</v>
      </c>
      <c r="C47">
        <v>30</v>
      </c>
      <c r="D47" t="s">
        <v>36</v>
      </c>
      <c r="E47" t="s">
        <v>27</v>
      </c>
      <c r="F47" t="s">
        <v>44</v>
      </c>
      <c r="G47" t="s">
        <v>29</v>
      </c>
      <c r="H47" t="s">
        <v>22</v>
      </c>
      <c r="I47" s="12">
        <v>0.85</v>
      </c>
      <c r="J47" s="12">
        <v>1.23</v>
      </c>
      <c r="K47" s="16">
        <v>21.25</v>
      </c>
      <c r="L47" s="16">
        <v>11</v>
      </c>
      <c r="M47" s="16">
        <v>0.5</v>
      </c>
      <c r="N47" s="16">
        <v>5</v>
      </c>
      <c r="O47" s="16">
        <v>37.75</v>
      </c>
      <c r="P47" t="s">
        <v>34</v>
      </c>
      <c r="Q47" t="s">
        <v>24</v>
      </c>
    </row>
    <row r="48" spans="1:17">
      <c r="A48" t="s">
        <v>89</v>
      </c>
      <c r="B48" s="14">
        <v>46230</v>
      </c>
      <c r="C48">
        <v>31</v>
      </c>
      <c r="D48" t="s">
        <v>40</v>
      </c>
      <c r="E48" t="s">
        <v>19</v>
      </c>
      <c r="F48" t="s">
        <v>28</v>
      </c>
      <c r="G48" t="s">
        <v>70</v>
      </c>
      <c r="H48" t="s">
        <v>41</v>
      </c>
      <c r="I48" s="12">
        <v>3.99</v>
      </c>
      <c r="J48" s="12">
        <v>0</v>
      </c>
      <c r="K48" s="16">
        <v>99.75</v>
      </c>
      <c r="L48" s="16">
        <v>11</v>
      </c>
      <c r="M48" s="16">
        <v>0.5</v>
      </c>
      <c r="N48" s="16">
        <v>5</v>
      </c>
      <c r="O48" s="16">
        <v>116.25</v>
      </c>
      <c r="P48" t="s">
        <v>23</v>
      </c>
      <c r="Q48" t="s">
        <v>24</v>
      </c>
    </row>
    <row r="49" spans="1:17">
      <c r="A49" t="s">
        <v>90</v>
      </c>
      <c r="B49" s="14">
        <v>46225</v>
      </c>
      <c r="C49">
        <v>30</v>
      </c>
      <c r="D49" t="s">
        <v>43</v>
      </c>
      <c r="E49" t="s">
        <v>27</v>
      </c>
      <c r="F49" t="s">
        <v>20</v>
      </c>
      <c r="G49" t="s">
        <v>29</v>
      </c>
      <c r="H49" t="s">
        <v>37</v>
      </c>
      <c r="I49" s="12">
        <v>3.3</v>
      </c>
      <c r="J49" s="12">
        <v>1.66</v>
      </c>
      <c r="K49" s="16">
        <v>82.5</v>
      </c>
      <c r="L49" s="16">
        <v>11</v>
      </c>
      <c r="M49" s="16">
        <v>0.5</v>
      </c>
      <c r="N49" s="16">
        <v>5</v>
      </c>
      <c r="O49" s="16">
        <v>99</v>
      </c>
      <c r="P49" t="s">
        <v>23</v>
      </c>
      <c r="Q49" t="s">
        <v>24</v>
      </c>
    </row>
    <row r="50" spans="1:17">
      <c r="A50" t="s">
        <v>91</v>
      </c>
      <c r="B50" s="14">
        <v>46226</v>
      </c>
      <c r="C50">
        <v>30</v>
      </c>
      <c r="D50" t="s">
        <v>18</v>
      </c>
      <c r="E50" t="s">
        <v>19</v>
      </c>
      <c r="F50" t="s">
        <v>28</v>
      </c>
      <c r="G50" t="s">
        <v>21</v>
      </c>
      <c r="H50" t="s">
        <v>37</v>
      </c>
      <c r="I50" s="12">
        <v>3.94</v>
      </c>
      <c r="J50" s="12">
        <v>0</v>
      </c>
      <c r="K50" s="16">
        <v>98.5</v>
      </c>
      <c r="L50" s="16">
        <v>11</v>
      </c>
      <c r="M50" s="16">
        <v>0.5</v>
      </c>
      <c r="N50" s="16">
        <v>5</v>
      </c>
      <c r="O50" s="16">
        <v>115</v>
      </c>
      <c r="P50" t="s">
        <v>23</v>
      </c>
      <c r="Q50" t="s">
        <v>24</v>
      </c>
    </row>
    <row r="51" spans="1:17">
      <c r="A51" t="s">
        <v>92</v>
      </c>
      <c r="B51" s="14">
        <v>46218</v>
      </c>
      <c r="C51">
        <v>29</v>
      </c>
      <c r="D51" t="s">
        <v>26</v>
      </c>
      <c r="E51" t="s">
        <v>27</v>
      </c>
      <c r="F51" t="s">
        <v>33</v>
      </c>
      <c r="G51" t="s">
        <v>50</v>
      </c>
      <c r="H51" t="s">
        <v>41</v>
      </c>
      <c r="I51" s="12">
        <v>4.58</v>
      </c>
      <c r="J51" s="12">
        <v>0</v>
      </c>
      <c r="K51" s="16">
        <v>114.5</v>
      </c>
      <c r="L51" s="16">
        <v>11</v>
      </c>
      <c r="M51" s="16">
        <v>0.5</v>
      </c>
      <c r="N51" s="16">
        <v>5</v>
      </c>
      <c r="O51" s="16">
        <v>131</v>
      </c>
      <c r="P51" t="s">
        <v>34</v>
      </c>
      <c r="Q51" t="s">
        <v>24</v>
      </c>
    </row>
    <row r="52" spans="1:17">
      <c r="A52" t="s">
        <v>93</v>
      </c>
      <c r="B52" s="14">
        <v>46216</v>
      </c>
      <c r="C52">
        <v>29</v>
      </c>
      <c r="D52" t="s">
        <v>32</v>
      </c>
      <c r="E52" t="s">
        <v>19</v>
      </c>
      <c r="F52" t="s">
        <v>20</v>
      </c>
      <c r="G52" t="s">
        <v>21</v>
      </c>
      <c r="H52" t="s">
        <v>37</v>
      </c>
      <c r="I52" s="12">
        <v>3.78</v>
      </c>
      <c r="J52" s="12">
        <v>0.95</v>
      </c>
      <c r="K52" s="16">
        <v>94.5</v>
      </c>
      <c r="L52" s="16">
        <v>11</v>
      </c>
      <c r="M52" s="16">
        <v>0.5</v>
      </c>
      <c r="N52" s="16">
        <v>5</v>
      </c>
      <c r="O52" s="16">
        <v>111</v>
      </c>
      <c r="P52" t="s">
        <v>23</v>
      </c>
      <c r="Q52" t="s">
        <v>38</v>
      </c>
    </row>
    <row r="53" spans="1:17">
      <c r="A53" t="s">
        <v>94</v>
      </c>
      <c r="B53" s="14">
        <v>46230</v>
      </c>
      <c r="C53">
        <v>31</v>
      </c>
      <c r="D53" t="s">
        <v>36</v>
      </c>
      <c r="E53" t="s">
        <v>27</v>
      </c>
      <c r="F53" t="s">
        <v>95</v>
      </c>
      <c r="G53" t="s">
        <v>50</v>
      </c>
      <c r="H53" t="s">
        <v>45</v>
      </c>
      <c r="I53" s="12">
        <v>4.18</v>
      </c>
      <c r="J53" s="12">
        <v>0.59</v>
      </c>
      <c r="K53" s="16">
        <v>104.5</v>
      </c>
      <c r="L53" s="16">
        <v>11</v>
      </c>
      <c r="M53" s="16">
        <v>0.5</v>
      </c>
      <c r="N53" s="16">
        <v>5</v>
      </c>
      <c r="O53" s="16">
        <v>121</v>
      </c>
      <c r="P53" t="s">
        <v>23</v>
      </c>
      <c r="Q53" t="s">
        <v>38</v>
      </c>
    </row>
    <row r="54" spans="1:17">
      <c r="A54" t="s">
        <v>96</v>
      </c>
      <c r="B54" s="14">
        <v>46227</v>
      </c>
      <c r="C54">
        <v>30</v>
      </c>
      <c r="D54" t="s">
        <v>40</v>
      </c>
      <c r="E54" t="s">
        <v>19</v>
      </c>
      <c r="F54" t="s">
        <v>44</v>
      </c>
      <c r="G54" t="s">
        <v>50</v>
      </c>
      <c r="H54" t="s">
        <v>64</v>
      </c>
      <c r="I54" s="12">
        <v>4.21</v>
      </c>
      <c r="J54" s="12">
        <v>0</v>
      </c>
      <c r="K54" s="16">
        <v>105.25</v>
      </c>
      <c r="L54" s="16">
        <v>11</v>
      </c>
      <c r="M54" s="16">
        <v>0.5</v>
      </c>
      <c r="N54" s="16">
        <v>5</v>
      </c>
      <c r="O54" s="16">
        <v>121.75</v>
      </c>
      <c r="P54" t="s">
        <v>34</v>
      </c>
      <c r="Q54" t="s">
        <v>24</v>
      </c>
    </row>
    <row r="55" spans="1:17">
      <c r="A55" t="s">
        <v>97</v>
      </c>
      <c r="B55" s="14">
        <v>46217</v>
      </c>
      <c r="C55">
        <v>29</v>
      </c>
      <c r="D55" t="s">
        <v>43</v>
      </c>
      <c r="E55" t="s">
        <v>27</v>
      </c>
      <c r="F55" t="s">
        <v>28</v>
      </c>
      <c r="G55" t="s">
        <v>70</v>
      </c>
      <c r="H55" t="s">
        <v>30</v>
      </c>
      <c r="I55" s="12">
        <v>3.43</v>
      </c>
      <c r="J55" s="12">
        <v>0.59</v>
      </c>
      <c r="K55" s="16">
        <v>85.75</v>
      </c>
      <c r="L55" s="16">
        <v>11</v>
      </c>
      <c r="M55" s="16">
        <v>0.5</v>
      </c>
      <c r="N55" s="16">
        <v>5</v>
      </c>
      <c r="O55" s="16">
        <v>102.25</v>
      </c>
      <c r="P55" t="s">
        <v>23</v>
      </c>
      <c r="Q55" t="s">
        <v>24</v>
      </c>
    </row>
    <row r="56" spans="1:17">
      <c r="A56" t="s">
        <v>98</v>
      </c>
      <c r="B56" s="14">
        <v>46220</v>
      </c>
      <c r="C56">
        <v>29</v>
      </c>
      <c r="D56" t="s">
        <v>18</v>
      </c>
      <c r="E56" t="s">
        <v>19</v>
      </c>
      <c r="F56" t="s">
        <v>33</v>
      </c>
      <c r="G56" t="s">
        <v>21</v>
      </c>
      <c r="H56" t="s">
        <v>41</v>
      </c>
      <c r="I56" s="12">
        <v>5.02</v>
      </c>
      <c r="J56" s="12">
        <v>0.36</v>
      </c>
      <c r="K56" s="16">
        <v>125.5</v>
      </c>
      <c r="L56" s="16">
        <v>11</v>
      </c>
      <c r="M56" s="16">
        <v>0.5</v>
      </c>
      <c r="N56" s="16">
        <v>5</v>
      </c>
      <c r="O56" s="16">
        <v>142</v>
      </c>
      <c r="P56" t="s">
        <v>34</v>
      </c>
      <c r="Q56" t="s">
        <v>24</v>
      </c>
    </row>
    <row r="57" spans="1:17">
      <c r="A57" t="s">
        <v>99</v>
      </c>
      <c r="B57" s="14">
        <v>46227</v>
      </c>
      <c r="C57">
        <v>30</v>
      </c>
      <c r="D57" t="s">
        <v>26</v>
      </c>
      <c r="E57" t="s">
        <v>27</v>
      </c>
      <c r="F57" t="s">
        <v>28</v>
      </c>
      <c r="G57" t="s">
        <v>29</v>
      </c>
      <c r="H57" t="s">
        <v>41</v>
      </c>
      <c r="I57" s="12">
        <v>4.93</v>
      </c>
      <c r="J57" s="12">
        <v>0</v>
      </c>
      <c r="K57" s="16">
        <v>123.25</v>
      </c>
      <c r="L57" s="16">
        <v>11</v>
      </c>
      <c r="M57" s="16">
        <v>0.5</v>
      </c>
      <c r="N57" s="16">
        <v>5</v>
      </c>
      <c r="O57" s="16">
        <v>139.75</v>
      </c>
      <c r="P57" t="s">
        <v>23</v>
      </c>
      <c r="Q57" t="s">
        <v>24</v>
      </c>
    </row>
    <row r="58" spans="1:17">
      <c r="A58" t="s">
        <v>100</v>
      </c>
      <c r="B58" s="14">
        <v>46216</v>
      </c>
      <c r="C58">
        <v>29</v>
      </c>
      <c r="D58" t="s">
        <v>32</v>
      </c>
      <c r="E58" t="s">
        <v>19</v>
      </c>
      <c r="F58" t="s">
        <v>33</v>
      </c>
      <c r="G58" t="s">
        <v>70</v>
      </c>
      <c r="H58" t="s">
        <v>64</v>
      </c>
      <c r="I58" s="12">
        <v>5.15</v>
      </c>
      <c r="J58" s="12">
        <v>0</v>
      </c>
      <c r="K58" s="16">
        <v>128.75</v>
      </c>
      <c r="L58" s="16">
        <v>11</v>
      </c>
      <c r="M58" s="16">
        <v>0.5</v>
      </c>
      <c r="N58" s="16">
        <v>5</v>
      </c>
      <c r="O58" s="16">
        <v>145.25</v>
      </c>
      <c r="P58" t="s">
        <v>34</v>
      </c>
      <c r="Q58" t="s">
        <v>24</v>
      </c>
    </row>
    <row r="59" spans="1:17">
      <c r="A59" t="s">
        <v>101</v>
      </c>
      <c r="B59" s="14">
        <v>46230</v>
      </c>
      <c r="C59">
        <v>31</v>
      </c>
      <c r="D59" t="s">
        <v>36</v>
      </c>
      <c r="E59" t="s">
        <v>27</v>
      </c>
      <c r="F59" t="s">
        <v>20</v>
      </c>
      <c r="G59" t="s">
        <v>29</v>
      </c>
      <c r="H59" t="s">
        <v>64</v>
      </c>
      <c r="I59" s="12">
        <v>5.2</v>
      </c>
      <c r="J59" s="12">
        <v>0</v>
      </c>
      <c r="K59" s="16">
        <v>130</v>
      </c>
      <c r="L59" s="16">
        <v>11</v>
      </c>
      <c r="M59" s="16">
        <v>0.5</v>
      </c>
      <c r="N59" s="16">
        <v>5</v>
      </c>
      <c r="O59" s="16">
        <v>146.5</v>
      </c>
      <c r="P59" t="s">
        <v>23</v>
      </c>
      <c r="Q59" t="s">
        <v>24</v>
      </c>
    </row>
    <row r="60" spans="1:17">
      <c r="A60" t="s">
        <v>102</v>
      </c>
      <c r="B60" s="14">
        <v>46226</v>
      </c>
      <c r="C60">
        <v>30</v>
      </c>
      <c r="D60" t="s">
        <v>40</v>
      </c>
      <c r="E60" t="s">
        <v>19</v>
      </c>
      <c r="F60" t="s">
        <v>33</v>
      </c>
      <c r="G60" t="s">
        <v>29</v>
      </c>
      <c r="H60" t="s">
        <v>30</v>
      </c>
      <c r="I60" s="12">
        <v>3.2</v>
      </c>
      <c r="J60" s="12">
        <v>0.58</v>
      </c>
      <c r="K60" s="16">
        <v>80</v>
      </c>
      <c r="L60" s="16">
        <v>11</v>
      </c>
      <c r="M60" s="16">
        <v>0.5</v>
      </c>
      <c r="N60" s="16">
        <v>5</v>
      </c>
      <c r="O60" s="16">
        <v>96.5</v>
      </c>
      <c r="P60" t="s">
        <v>34</v>
      </c>
      <c r="Q60" t="s">
        <v>24</v>
      </c>
    </row>
    <row r="61" spans="1:17">
      <c r="A61" t="s">
        <v>103</v>
      </c>
      <c r="B61" s="14">
        <v>46225</v>
      </c>
      <c r="C61">
        <v>30</v>
      </c>
      <c r="D61" t="s">
        <v>43</v>
      </c>
      <c r="E61" t="s">
        <v>27</v>
      </c>
      <c r="F61" t="s">
        <v>33</v>
      </c>
      <c r="G61" t="s">
        <v>29</v>
      </c>
      <c r="H61" t="s">
        <v>37</v>
      </c>
      <c r="I61" s="12">
        <v>3.84</v>
      </c>
      <c r="J61" s="12">
        <v>0</v>
      </c>
      <c r="K61" s="16">
        <v>96</v>
      </c>
      <c r="L61" s="16">
        <v>11</v>
      </c>
      <c r="M61" s="16">
        <v>0.5</v>
      </c>
      <c r="N61" s="16">
        <v>5</v>
      </c>
      <c r="O61" s="16">
        <v>112.5</v>
      </c>
      <c r="P61" t="s">
        <v>34</v>
      </c>
      <c r="Q61" t="s">
        <v>24</v>
      </c>
    </row>
    <row r="62" spans="1:17">
      <c r="A62" t="s">
        <v>104</v>
      </c>
      <c r="B62" s="14">
        <v>46227</v>
      </c>
      <c r="C62">
        <v>30</v>
      </c>
      <c r="D62" t="s">
        <v>18</v>
      </c>
      <c r="E62" t="s">
        <v>19</v>
      </c>
      <c r="F62" t="s">
        <v>28</v>
      </c>
      <c r="G62" t="s">
        <v>50</v>
      </c>
      <c r="H62" t="s">
        <v>64</v>
      </c>
      <c r="I62" s="12">
        <v>4.25</v>
      </c>
      <c r="J62" s="12">
        <v>1.98</v>
      </c>
      <c r="K62" s="16">
        <v>106.25</v>
      </c>
      <c r="L62" s="16">
        <v>11</v>
      </c>
      <c r="M62" s="16">
        <v>0.5</v>
      </c>
      <c r="N62" s="16">
        <v>5</v>
      </c>
      <c r="O62" s="16">
        <v>122.75</v>
      </c>
      <c r="P62" t="s">
        <v>23</v>
      </c>
      <c r="Q62" t="s">
        <v>24</v>
      </c>
    </row>
    <row r="63" spans="1:17">
      <c r="A63" t="s">
        <v>105</v>
      </c>
      <c r="B63" s="14">
        <v>46224</v>
      </c>
      <c r="C63">
        <v>30</v>
      </c>
      <c r="D63" t="s">
        <v>26</v>
      </c>
      <c r="E63" t="s">
        <v>27</v>
      </c>
      <c r="F63" t="s">
        <v>44</v>
      </c>
      <c r="G63" t="s">
        <v>29</v>
      </c>
      <c r="H63" t="s">
        <v>41</v>
      </c>
      <c r="I63" s="12">
        <v>4.53</v>
      </c>
      <c r="J63" s="12">
        <v>0.52</v>
      </c>
      <c r="K63" s="16">
        <v>113.25</v>
      </c>
      <c r="L63" s="16">
        <v>11</v>
      </c>
      <c r="M63" s="16">
        <v>0.5</v>
      </c>
      <c r="N63" s="16">
        <v>5</v>
      </c>
      <c r="O63" s="16">
        <v>129.75</v>
      </c>
      <c r="P63" t="s">
        <v>23</v>
      </c>
      <c r="Q63" t="s">
        <v>24</v>
      </c>
    </row>
    <row r="64" spans="1:17">
      <c r="A64" t="s">
        <v>106</v>
      </c>
      <c r="B64" s="14">
        <v>46225</v>
      </c>
      <c r="C64">
        <v>30</v>
      </c>
      <c r="D64" t="s">
        <v>32</v>
      </c>
      <c r="E64" t="s">
        <v>19</v>
      </c>
      <c r="F64" t="s">
        <v>28</v>
      </c>
      <c r="G64" t="s">
        <v>21</v>
      </c>
      <c r="H64" t="s">
        <v>45</v>
      </c>
      <c r="I64" s="12">
        <v>3.99</v>
      </c>
      <c r="J64" s="12">
        <v>0.73</v>
      </c>
      <c r="K64" s="16">
        <v>99.75</v>
      </c>
      <c r="L64" s="16">
        <v>11</v>
      </c>
      <c r="M64" s="16">
        <v>0.5</v>
      </c>
      <c r="N64" s="16">
        <v>5</v>
      </c>
      <c r="O64" s="16">
        <v>116.25</v>
      </c>
      <c r="P64" t="s">
        <v>23</v>
      </c>
      <c r="Q64" t="s">
        <v>24</v>
      </c>
    </row>
    <row r="65" spans="1:17">
      <c r="A65" t="s">
        <v>107</v>
      </c>
      <c r="B65" s="14">
        <v>46224</v>
      </c>
      <c r="C65">
        <v>30</v>
      </c>
      <c r="D65" t="s">
        <v>36</v>
      </c>
      <c r="E65" t="s">
        <v>27</v>
      </c>
      <c r="F65" t="s">
        <v>28</v>
      </c>
      <c r="G65" t="s">
        <v>29</v>
      </c>
      <c r="H65" t="s">
        <v>37</v>
      </c>
      <c r="I65" s="12">
        <v>3.95</v>
      </c>
      <c r="J65" s="12">
        <v>0</v>
      </c>
      <c r="K65" s="16">
        <v>98.75</v>
      </c>
      <c r="L65" s="16">
        <v>11</v>
      </c>
      <c r="M65" s="16">
        <v>0.5</v>
      </c>
      <c r="N65" s="16">
        <v>5</v>
      </c>
      <c r="O65" s="16">
        <v>115.25</v>
      </c>
      <c r="P65" t="s">
        <v>23</v>
      </c>
      <c r="Q65" t="s">
        <v>24</v>
      </c>
    </row>
    <row r="66" spans="1:17">
      <c r="A66" t="s">
        <v>108</v>
      </c>
      <c r="B66" s="14">
        <v>46219</v>
      </c>
      <c r="C66">
        <v>29</v>
      </c>
      <c r="D66" t="s">
        <v>40</v>
      </c>
      <c r="E66" t="s">
        <v>19</v>
      </c>
      <c r="F66" t="s">
        <v>33</v>
      </c>
      <c r="G66" t="s">
        <v>21</v>
      </c>
      <c r="H66" t="s">
        <v>64</v>
      </c>
      <c r="I66" s="12">
        <v>3.52</v>
      </c>
      <c r="J66" s="12">
        <v>1.02</v>
      </c>
      <c r="K66" s="16">
        <v>88</v>
      </c>
      <c r="L66" s="16">
        <v>11</v>
      </c>
      <c r="M66" s="16">
        <v>0.5</v>
      </c>
      <c r="N66" s="16">
        <v>5</v>
      </c>
      <c r="O66" s="16">
        <v>104.5</v>
      </c>
      <c r="P66" t="s">
        <v>23</v>
      </c>
      <c r="Q66" t="s">
        <v>24</v>
      </c>
    </row>
    <row r="67" spans="1:17">
      <c r="A67" t="s">
        <v>109</v>
      </c>
      <c r="B67" s="14">
        <v>46227</v>
      </c>
      <c r="C67">
        <v>30</v>
      </c>
      <c r="D67" t="s">
        <v>43</v>
      </c>
      <c r="E67" t="s">
        <v>27</v>
      </c>
      <c r="F67" t="s">
        <v>33</v>
      </c>
      <c r="G67" t="s">
        <v>70</v>
      </c>
      <c r="H67" t="s">
        <v>64</v>
      </c>
      <c r="I67" s="12">
        <v>5.17</v>
      </c>
      <c r="J67" s="12">
        <v>0</v>
      </c>
      <c r="K67" s="16">
        <v>129.25</v>
      </c>
      <c r="L67" s="16">
        <v>11</v>
      </c>
      <c r="M67" s="16">
        <v>0.5</v>
      </c>
      <c r="N67" s="16">
        <v>5</v>
      </c>
      <c r="O67" s="16">
        <v>145.75</v>
      </c>
      <c r="P67" t="s">
        <v>34</v>
      </c>
      <c r="Q67" t="s">
        <v>38</v>
      </c>
    </row>
    <row r="68" spans="1:17">
      <c r="A68" t="s">
        <v>110</v>
      </c>
      <c r="B68" s="14">
        <v>46224</v>
      </c>
      <c r="C68">
        <v>30</v>
      </c>
      <c r="D68" t="s">
        <v>18</v>
      </c>
      <c r="E68" t="s">
        <v>19</v>
      </c>
      <c r="F68" t="s">
        <v>20</v>
      </c>
      <c r="G68" t="s">
        <v>29</v>
      </c>
      <c r="H68" t="s">
        <v>22</v>
      </c>
      <c r="I68" s="12">
        <v>0.5</v>
      </c>
      <c r="J68" s="12">
        <v>0.98</v>
      </c>
      <c r="K68" s="16">
        <v>12.5</v>
      </c>
      <c r="L68" s="16">
        <v>11</v>
      </c>
      <c r="M68" s="16">
        <v>0.5</v>
      </c>
      <c r="N68" s="16">
        <v>5</v>
      </c>
      <c r="O68" s="16">
        <v>29</v>
      </c>
      <c r="P68" t="s">
        <v>23</v>
      </c>
      <c r="Q68" t="s">
        <v>24</v>
      </c>
    </row>
    <row r="69" spans="1:17">
      <c r="A69" t="s">
        <v>111</v>
      </c>
      <c r="B69" s="14">
        <v>46217</v>
      </c>
      <c r="C69">
        <v>29</v>
      </c>
      <c r="D69" t="s">
        <v>26</v>
      </c>
      <c r="E69" t="s">
        <v>27</v>
      </c>
      <c r="F69" t="s">
        <v>28</v>
      </c>
      <c r="G69" t="s">
        <v>29</v>
      </c>
      <c r="H69" t="s">
        <v>22</v>
      </c>
      <c r="I69" s="12">
        <v>0.72</v>
      </c>
      <c r="J69" s="12">
        <v>0</v>
      </c>
      <c r="K69" s="16">
        <v>18</v>
      </c>
      <c r="L69" s="16">
        <v>11</v>
      </c>
      <c r="M69" s="16">
        <v>0.5</v>
      </c>
      <c r="N69" s="16">
        <v>5</v>
      </c>
      <c r="O69" s="16">
        <v>34.5</v>
      </c>
      <c r="P69" t="s">
        <v>23</v>
      </c>
      <c r="Q69" t="s">
        <v>24</v>
      </c>
    </row>
    <row r="70" spans="1:17">
      <c r="A70" t="s">
        <v>112</v>
      </c>
      <c r="B70" s="14">
        <v>46218</v>
      </c>
      <c r="C70">
        <v>29</v>
      </c>
      <c r="D70" t="s">
        <v>32</v>
      </c>
      <c r="E70" t="s">
        <v>19</v>
      </c>
      <c r="F70" t="s">
        <v>33</v>
      </c>
      <c r="G70" t="s">
        <v>29</v>
      </c>
      <c r="H70" t="s">
        <v>41</v>
      </c>
      <c r="I70" s="12">
        <v>3.89</v>
      </c>
      <c r="J70" s="12">
        <v>0.95</v>
      </c>
      <c r="K70" s="16">
        <v>97.25</v>
      </c>
      <c r="L70" s="16">
        <v>11</v>
      </c>
      <c r="M70" s="16">
        <v>0.5</v>
      </c>
      <c r="N70" s="16">
        <v>5</v>
      </c>
      <c r="O70" s="16">
        <v>113.75</v>
      </c>
      <c r="P70" t="s">
        <v>23</v>
      </c>
      <c r="Q70" t="s">
        <v>24</v>
      </c>
    </row>
    <row r="71" spans="1:17">
      <c r="A71" t="s">
        <v>113</v>
      </c>
      <c r="B71" s="14">
        <v>46218</v>
      </c>
      <c r="C71">
        <v>29</v>
      </c>
      <c r="D71" t="s">
        <v>36</v>
      </c>
      <c r="E71" t="s">
        <v>27</v>
      </c>
      <c r="F71" t="s">
        <v>33</v>
      </c>
      <c r="G71" t="s">
        <v>29</v>
      </c>
      <c r="H71" t="s">
        <v>41</v>
      </c>
      <c r="I71" s="12">
        <v>5.46</v>
      </c>
      <c r="J71" s="12">
        <v>1.34</v>
      </c>
      <c r="K71" s="16">
        <v>136.5</v>
      </c>
      <c r="L71" s="16">
        <v>11</v>
      </c>
      <c r="M71" s="16">
        <v>0.5</v>
      </c>
      <c r="N71" s="16">
        <v>5</v>
      </c>
      <c r="O71" s="16">
        <v>153</v>
      </c>
      <c r="P71" t="s">
        <v>34</v>
      </c>
      <c r="Q71" t="s">
        <v>38</v>
      </c>
    </row>
    <row r="72" spans="1:17">
      <c r="A72" t="s">
        <v>114</v>
      </c>
      <c r="B72" s="14">
        <v>46219</v>
      </c>
      <c r="C72">
        <v>29</v>
      </c>
      <c r="D72" t="s">
        <v>40</v>
      </c>
      <c r="E72" t="s">
        <v>19</v>
      </c>
      <c r="F72" t="s">
        <v>20</v>
      </c>
      <c r="G72" t="s">
        <v>21</v>
      </c>
      <c r="H72" t="s">
        <v>41</v>
      </c>
      <c r="I72" s="12">
        <v>4.62</v>
      </c>
      <c r="J72" s="12">
        <v>0.45</v>
      </c>
      <c r="K72" s="16">
        <v>115.5</v>
      </c>
      <c r="L72" s="16">
        <v>11</v>
      </c>
      <c r="M72" s="16">
        <v>0.5</v>
      </c>
      <c r="N72" s="16">
        <v>5</v>
      </c>
      <c r="O72" s="16">
        <v>132</v>
      </c>
      <c r="P72" t="s">
        <v>23</v>
      </c>
      <c r="Q72" t="s">
        <v>38</v>
      </c>
    </row>
    <row r="73" spans="1:17">
      <c r="A73" t="s">
        <v>115</v>
      </c>
      <c r="B73" s="14">
        <v>46224</v>
      </c>
      <c r="C73">
        <v>30</v>
      </c>
      <c r="D73" t="s">
        <v>43</v>
      </c>
      <c r="E73" t="s">
        <v>27</v>
      </c>
      <c r="F73" t="s">
        <v>44</v>
      </c>
      <c r="G73" t="s">
        <v>21</v>
      </c>
      <c r="H73" t="s">
        <v>37</v>
      </c>
      <c r="I73" s="12">
        <v>3.28</v>
      </c>
      <c r="J73" s="12">
        <v>0.4</v>
      </c>
      <c r="K73" s="16">
        <v>82</v>
      </c>
      <c r="L73" s="16">
        <v>11</v>
      </c>
      <c r="M73" s="16">
        <v>0.5</v>
      </c>
      <c r="N73" s="16">
        <v>5</v>
      </c>
      <c r="O73" s="16">
        <v>98.5</v>
      </c>
      <c r="P73" t="s">
        <v>34</v>
      </c>
      <c r="Q73" t="s">
        <v>24</v>
      </c>
    </row>
    <row r="74" spans="1:17">
      <c r="A74" t="s">
        <v>116</v>
      </c>
      <c r="B74" s="14">
        <v>46217</v>
      </c>
      <c r="C74">
        <v>29</v>
      </c>
      <c r="D74" t="s">
        <v>18</v>
      </c>
      <c r="E74" t="s">
        <v>19</v>
      </c>
      <c r="F74" t="s">
        <v>20</v>
      </c>
      <c r="G74" t="s">
        <v>50</v>
      </c>
      <c r="H74" t="s">
        <v>64</v>
      </c>
      <c r="I74" s="12">
        <v>4.29</v>
      </c>
      <c r="J74" s="12">
        <v>0</v>
      </c>
      <c r="K74" s="16">
        <v>107.25</v>
      </c>
      <c r="L74" s="16">
        <v>11</v>
      </c>
      <c r="M74" s="16">
        <v>0.5</v>
      </c>
      <c r="N74" s="16">
        <v>5</v>
      </c>
      <c r="O74" s="16">
        <v>123.75</v>
      </c>
      <c r="P74" t="s">
        <v>23</v>
      </c>
      <c r="Q74" t="s">
        <v>24</v>
      </c>
    </row>
    <row r="75" spans="1:17">
      <c r="A75" t="s">
        <v>117</v>
      </c>
      <c r="B75" s="14">
        <v>46216</v>
      </c>
      <c r="C75">
        <v>29</v>
      </c>
      <c r="D75" t="s">
        <v>26</v>
      </c>
      <c r="E75" t="s">
        <v>27</v>
      </c>
      <c r="F75" t="s">
        <v>28</v>
      </c>
      <c r="G75" t="s">
        <v>29</v>
      </c>
      <c r="H75" t="s">
        <v>64</v>
      </c>
      <c r="I75" s="12">
        <v>4.46</v>
      </c>
      <c r="J75" s="12">
        <v>0</v>
      </c>
      <c r="K75" s="16">
        <v>111.5</v>
      </c>
      <c r="L75" s="16">
        <v>11</v>
      </c>
      <c r="M75" s="16">
        <v>0.5</v>
      </c>
      <c r="N75" s="16">
        <v>5</v>
      </c>
      <c r="O75" s="16">
        <v>128</v>
      </c>
      <c r="P75" t="s">
        <v>23</v>
      </c>
      <c r="Q75" t="s">
        <v>24</v>
      </c>
    </row>
    <row r="76" spans="1:17">
      <c r="A76" t="s">
        <v>118</v>
      </c>
      <c r="B76" s="14">
        <v>46218</v>
      </c>
      <c r="C76">
        <v>29</v>
      </c>
      <c r="D76" t="s">
        <v>32</v>
      </c>
      <c r="E76" t="s">
        <v>19</v>
      </c>
      <c r="F76" t="s">
        <v>33</v>
      </c>
      <c r="G76" t="s">
        <v>21</v>
      </c>
      <c r="H76" t="s">
        <v>30</v>
      </c>
      <c r="I76" s="12">
        <v>3.97</v>
      </c>
      <c r="J76" s="12">
        <v>0</v>
      </c>
      <c r="K76" s="16">
        <v>99.25</v>
      </c>
      <c r="L76" s="16">
        <v>11</v>
      </c>
      <c r="M76" s="16">
        <v>0.5</v>
      </c>
      <c r="N76" s="16">
        <v>5</v>
      </c>
      <c r="O76" s="16">
        <v>115.75</v>
      </c>
      <c r="P76" t="s">
        <v>34</v>
      </c>
      <c r="Q76" t="s">
        <v>24</v>
      </c>
    </row>
    <row r="77" spans="1:17">
      <c r="A77" t="s">
        <v>119</v>
      </c>
      <c r="B77" s="14">
        <v>46217</v>
      </c>
      <c r="C77">
        <v>29</v>
      </c>
      <c r="D77" t="s">
        <v>36</v>
      </c>
      <c r="E77" t="s">
        <v>27</v>
      </c>
      <c r="F77" t="s">
        <v>33</v>
      </c>
      <c r="G77" t="s">
        <v>21</v>
      </c>
      <c r="H77" t="s">
        <v>37</v>
      </c>
      <c r="I77" s="12">
        <v>3.9</v>
      </c>
      <c r="J77" s="12">
        <v>0</v>
      </c>
      <c r="K77" s="16">
        <v>97.5</v>
      </c>
      <c r="L77" s="16">
        <v>11</v>
      </c>
      <c r="M77" s="16">
        <v>0.5</v>
      </c>
      <c r="N77" s="16">
        <v>5</v>
      </c>
      <c r="O77" s="16">
        <v>114</v>
      </c>
      <c r="P77" t="s">
        <v>34</v>
      </c>
      <c r="Q77" t="s">
        <v>24</v>
      </c>
    </row>
    <row r="78" spans="1:17">
      <c r="A78" t="s">
        <v>120</v>
      </c>
      <c r="B78" s="14">
        <v>46218</v>
      </c>
      <c r="C78">
        <v>29</v>
      </c>
      <c r="D78" t="s">
        <v>40</v>
      </c>
      <c r="E78" t="s">
        <v>19</v>
      </c>
      <c r="F78" t="s">
        <v>20</v>
      </c>
      <c r="G78" t="s">
        <v>21</v>
      </c>
      <c r="H78" t="s">
        <v>41</v>
      </c>
      <c r="I78" s="12">
        <v>5</v>
      </c>
      <c r="J78" s="12">
        <v>0.76</v>
      </c>
      <c r="K78" s="16">
        <v>125</v>
      </c>
      <c r="L78" s="16">
        <v>11</v>
      </c>
      <c r="M78" s="16">
        <v>0.5</v>
      </c>
      <c r="N78" s="16">
        <v>5</v>
      </c>
      <c r="O78" s="16">
        <v>141.5</v>
      </c>
      <c r="P78" t="s">
        <v>23</v>
      </c>
      <c r="Q78" t="s">
        <v>24</v>
      </c>
    </row>
    <row r="79" spans="1:17">
      <c r="A79" t="s">
        <v>121</v>
      </c>
      <c r="B79" s="14">
        <v>46219</v>
      </c>
      <c r="C79">
        <v>29</v>
      </c>
      <c r="D79" t="s">
        <v>43</v>
      </c>
      <c r="E79" t="s">
        <v>27</v>
      </c>
      <c r="F79" t="s">
        <v>33</v>
      </c>
      <c r="G79" t="s">
        <v>21</v>
      </c>
      <c r="H79" t="s">
        <v>22</v>
      </c>
      <c r="I79" s="12">
        <v>1.58</v>
      </c>
      <c r="J79" s="12">
        <v>0</v>
      </c>
      <c r="K79" s="16">
        <v>39.5</v>
      </c>
      <c r="L79" s="16">
        <v>11</v>
      </c>
      <c r="M79" s="16">
        <v>0.5</v>
      </c>
      <c r="N79" s="16">
        <v>5</v>
      </c>
      <c r="O79" s="16">
        <v>56</v>
      </c>
      <c r="P79" t="s">
        <v>34</v>
      </c>
      <c r="Q79" t="s">
        <v>24</v>
      </c>
    </row>
    <row r="80" spans="1:17">
      <c r="A80" t="s">
        <v>122</v>
      </c>
      <c r="B80" s="14">
        <v>46219</v>
      </c>
      <c r="C80">
        <v>29</v>
      </c>
      <c r="D80" t="s">
        <v>18</v>
      </c>
      <c r="E80" t="s">
        <v>19</v>
      </c>
      <c r="F80" t="s">
        <v>28</v>
      </c>
      <c r="G80" t="s">
        <v>21</v>
      </c>
      <c r="H80" t="s">
        <v>41</v>
      </c>
      <c r="I80" s="12">
        <v>4.47</v>
      </c>
      <c r="J80" s="12">
        <v>0</v>
      </c>
      <c r="K80" s="16">
        <v>111.75</v>
      </c>
      <c r="L80" s="16">
        <v>11</v>
      </c>
      <c r="M80" s="16">
        <v>0.5</v>
      </c>
      <c r="N80" s="16">
        <v>5</v>
      </c>
      <c r="O80" s="16">
        <v>128.25</v>
      </c>
      <c r="P80" t="s">
        <v>23</v>
      </c>
      <c r="Q80" t="s">
        <v>24</v>
      </c>
    </row>
    <row r="81" spans="1:17">
      <c r="A81" t="s">
        <v>123</v>
      </c>
      <c r="B81" s="14">
        <v>46219</v>
      </c>
      <c r="C81">
        <v>29</v>
      </c>
      <c r="D81" t="s">
        <v>26</v>
      </c>
      <c r="E81" t="s">
        <v>27</v>
      </c>
      <c r="F81" t="s">
        <v>28</v>
      </c>
      <c r="G81" t="s">
        <v>21</v>
      </c>
      <c r="H81" t="s">
        <v>22</v>
      </c>
      <c r="I81" s="12">
        <v>0.5</v>
      </c>
      <c r="J81" s="12">
        <v>0</v>
      </c>
      <c r="K81" s="16">
        <v>12.5</v>
      </c>
      <c r="L81" s="16">
        <v>11</v>
      </c>
      <c r="M81" s="16">
        <v>0.5</v>
      </c>
      <c r="N81" s="16">
        <v>5</v>
      </c>
      <c r="O81" s="16">
        <v>29</v>
      </c>
      <c r="P81" t="s">
        <v>23</v>
      </c>
      <c r="Q81" t="s">
        <v>24</v>
      </c>
    </row>
    <row r="82" spans="1:17">
      <c r="A82" t="s">
        <v>124</v>
      </c>
      <c r="B82" s="14">
        <v>46224</v>
      </c>
      <c r="C82">
        <v>30</v>
      </c>
      <c r="D82" t="s">
        <v>32</v>
      </c>
      <c r="E82" t="s">
        <v>19</v>
      </c>
      <c r="F82" t="s">
        <v>33</v>
      </c>
      <c r="G82" t="s">
        <v>29</v>
      </c>
      <c r="H82" t="s">
        <v>22</v>
      </c>
      <c r="I82" s="12">
        <v>1.43</v>
      </c>
      <c r="J82" s="12">
        <v>0</v>
      </c>
      <c r="K82" s="16">
        <v>35.75</v>
      </c>
      <c r="L82" s="16">
        <v>11</v>
      </c>
      <c r="M82" s="16">
        <v>0.5</v>
      </c>
      <c r="N82" s="16">
        <v>5</v>
      </c>
      <c r="O82" s="16">
        <v>52.25</v>
      </c>
      <c r="P82" t="s">
        <v>34</v>
      </c>
      <c r="Q82" t="s">
        <v>24</v>
      </c>
    </row>
    <row r="83" spans="1:17">
      <c r="A83" t="s">
        <v>125</v>
      </c>
      <c r="B83" s="14">
        <v>46225</v>
      </c>
      <c r="C83">
        <v>30</v>
      </c>
      <c r="D83" t="s">
        <v>36</v>
      </c>
      <c r="E83" t="s">
        <v>27</v>
      </c>
      <c r="F83" t="s">
        <v>44</v>
      </c>
      <c r="G83" t="s">
        <v>50</v>
      </c>
      <c r="H83" t="s">
        <v>64</v>
      </c>
      <c r="I83" s="12">
        <v>5.08</v>
      </c>
      <c r="J83" s="12">
        <v>0</v>
      </c>
      <c r="K83" s="16">
        <v>127</v>
      </c>
      <c r="L83" s="16">
        <v>11</v>
      </c>
      <c r="M83" s="16">
        <v>0.5</v>
      </c>
      <c r="N83" s="16">
        <v>5</v>
      </c>
      <c r="O83" s="16">
        <v>143.5</v>
      </c>
      <c r="P83" t="s">
        <v>23</v>
      </c>
      <c r="Q83" t="s">
        <v>24</v>
      </c>
    </row>
    <row r="84" spans="1:17">
      <c r="A84" t="s">
        <v>126</v>
      </c>
      <c r="B84" s="14">
        <v>46217</v>
      </c>
      <c r="C84">
        <v>29</v>
      </c>
      <c r="D84" t="s">
        <v>40</v>
      </c>
      <c r="E84" t="s">
        <v>19</v>
      </c>
      <c r="F84" t="s">
        <v>20</v>
      </c>
      <c r="G84" t="s">
        <v>29</v>
      </c>
      <c r="H84" t="s">
        <v>41</v>
      </c>
      <c r="I84" s="12">
        <v>4.14</v>
      </c>
      <c r="J84" s="12">
        <v>1.06</v>
      </c>
      <c r="K84" s="16">
        <v>103.5</v>
      </c>
      <c r="L84" s="16">
        <v>11</v>
      </c>
      <c r="M84" s="16">
        <v>0.5</v>
      </c>
      <c r="N84" s="16">
        <v>5</v>
      </c>
      <c r="O84" s="16">
        <v>120</v>
      </c>
      <c r="P84" t="s">
        <v>23</v>
      </c>
      <c r="Q84" t="s">
        <v>38</v>
      </c>
    </row>
    <row r="85" spans="1:17">
      <c r="A85" t="s">
        <v>127</v>
      </c>
      <c r="B85" s="14">
        <v>46219</v>
      </c>
      <c r="C85">
        <v>29</v>
      </c>
      <c r="D85" t="s">
        <v>43</v>
      </c>
      <c r="E85" t="s">
        <v>27</v>
      </c>
      <c r="F85" t="s">
        <v>28</v>
      </c>
      <c r="G85" t="s">
        <v>70</v>
      </c>
      <c r="H85" t="s">
        <v>22</v>
      </c>
      <c r="I85" s="12">
        <v>0.63</v>
      </c>
      <c r="J85" s="12">
        <v>0</v>
      </c>
      <c r="K85" s="16">
        <v>15.75</v>
      </c>
      <c r="L85" s="16">
        <v>11</v>
      </c>
      <c r="M85" s="16">
        <v>0.5</v>
      </c>
      <c r="N85" s="16">
        <v>5</v>
      </c>
      <c r="O85" s="16">
        <v>32.25</v>
      </c>
      <c r="P85" t="s">
        <v>23</v>
      </c>
      <c r="Q85" t="s">
        <v>38</v>
      </c>
    </row>
    <row r="86" spans="1:17">
      <c r="A86" t="s">
        <v>128</v>
      </c>
      <c r="B86" s="14">
        <v>46224</v>
      </c>
      <c r="C86">
        <v>30</v>
      </c>
      <c r="D86" t="s">
        <v>18</v>
      </c>
      <c r="E86" t="s">
        <v>19</v>
      </c>
      <c r="F86" t="s">
        <v>44</v>
      </c>
      <c r="G86" t="s">
        <v>29</v>
      </c>
      <c r="H86" t="s">
        <v>37</v>
      </c>
      <c r="I86" s="12">
        <v>3.57</v>
      </c>
      <c r="J86" s="12">
        <v>0.47</v>
      </c>
      <c r="K86" s="16">
        <v>89.25</v>
      </c>
      <c r="L86" s="16">
        <v>11</v>
      </c>
      <c r="M86" s="16">
        <v>0.5</v>
      </c>
      <c r="N86" s="16">
        <v>5</v>
      </c>
      <c r="O86" s="16">
        <v>105.75</v>
      </c>
      <c r="P86" t="s">
        <v>34</v>
      </c>
      <c r="Q86" t="s">
        <v>24</v>
      </c>
    </row>
    <row r="87" spans="1:17">
      <c r="A87" t="s">
        <v>129</v>
      </c>
      <c r="B87" s="14">
        <v>46227</v>
      </c>
      <c r="C87">
        <v>30</v>
      </c>
      <c r="D87" t="s">
        <v>26</v>
      </c>
      <c r="E87" t="s">
        <v>27</v>
      </c>
      <c r="F87" t="s">
        <v>28</v>
      </c>
      <c r="G87" t="s">
        <v>21</v>
      </c>
      <c r="H87" t="s">
        <v>30</v>
      </c>
      <c r="I87" s="12">
        <v>3.1</v>
      </c>
      <c r="J87" s="12">
        <v>0.42</v>
      </c>
      <c r="K87" s="16">
        <v>77.5</v>
      </c>
      <c r="L87" s="16">
        <v>11</v>
      </c>
      <c r="M87" s="16">
        <v>0.5</v>
      </c>
      <c r="N87" s="16">
        <v>5</v>
      </c>
      <c r="O87" s="16">
        <v>94</v>
      </c>
      <c r="P87" t="s">
        <v>23</v>
      </c>
      <c r="Q87" t="s">
        <v>24</v>
      </c>
    </row>
    <row r="88" spans="1:17">
      <c r="A88" t="s">
        <v>130</v>
      </c>
      <c r="B88" s="14">
        <v>46230</v>
      </c>
      <c r="C88">
        <v>31</v>
      </c>
      <c r="D88" t="s">
        <v>32</v>
      </c>
      <c r="E88" t="s">
        <v>19</v>
      </c>
      <c r="F88" t="s">
        <v>95</v>
      </c>
      <c r="G88" t="s">
        <v>21</v>
      </c>
      <c r="H88" t="s">
        <v>22</v>
      </c>
      <c r="I88" s="12">
        <v>0.5</v>
      </c>
      <c r="J88" s="12">
        <v>0.87</v>
      </c>
      <c r="K88" s="16">
        <v>12.5</v>
      </c>
      <c r="L88" s="16">
        <v>11</v>
      </c>
      <c r="M88" s="16">
        <v>0.5</v>
      </c>
      <c r="N88" s="16">
        <v>5</v>
      </c>
      <c r="O88" s="16">
        <v>29</v>
      </c>
      <c r="P88" t="s">
        <v>23</v>
      </c>
      <c r="Q88" t="s">
        <v>24</v>
      </c>
    </row>
    <row r="89" spans="1:17">
      <c r="A89" t="s">
        <v>131</v>
      </c>
      <c r="B89" s="14">
        <v>46216</v>
      </c>
      <c r="C89">
        <v>29</v>
      </c>
      <c r="D89" t="s">
        <v>36</v>
      </c>
      <c r="E89" t="s">
        <v>27</v>
      </c>
      <c r="F89" t="s">
        <v>28</v>
      </c>
      <c r="G89" t="s">
        <v>50</v>
      </c>
      <c r="H89" t="s">
        <v>22</v>
      </c>
      <c r="I89" s="12">
        <v>0.5</v>
      </c>
      <c r="J89" s="12">
        <v>0.65</v>
      </c>
      <c r="K89" s="16">
        <v>12.5</v>
      </c>
      <c r="L89" s="16">
        <v>11</v>
      </c>
      <c r="M89" s="16">
        <v>0.5</v>
      </c>
      <c r="N89" s="16">
        <v>5</v>
      </c>
      <c r="O89" s="16">
        <v>29</v>
      </c>
      <c r="P89" t="s">
        <v>23</v>
      </c>
      <c r="Q89" t="s">
        <v>38</v>
      </c>
    </row>
    <row r="90" spans="1:17">
      <c r="A90" t="s">
        <v>132</v>
      </c>
      <c r="B90" s="14">
        <v>46225</v>
      </c>
      <c r="C90">
        <v>30</v>
      </c>
      <c r="D90" t="s">
        <v>40</v>
      </c>
      <c r="E90" t="s">
        <v>19</v>
      </c>
      <c r="F90" t="s">
        <v>20</v>
      </c>
      <c r="G90" t="s">
        <v>21</v>
      </c>
      <c r="H90" t="s">
        <v>30</v>
      </c>
      <c r="I90" s="12">
        <v>3.3</v>
      </c>
      <c r="J90" s="12">
        <v>0</v>
      </c>
      <c r="K90" s="16">
        <v>82.5</v>
      </c>
      <c r="L90" s="16">
        <v>11</v>
      </c>
      <c r="M90" s="16">
        <v>0.5</v>
      </c>
      <c r="N90" s="16">
        <v>5</v>
      </c>
      <c r="O90" s="16">
        <v>99</v>
      </c>
      <c r="P90" t="s">
        <v>23</v>
      </c>
      <c r="Q90" t="s">
        <v>24</v>
      </c>
    </row>
    <row r="91" spans="1:17">
      <c r="A91" t="s">
        <v>133</v>
      </c>
      <c r="B91" s="14">
        <v>46218</v>
      </c>
      <c r="C91">
        <v>29</v>
      </c>
      <c r="D91" t="s">
        <v>43</v>
      </c>
      <c r="E91" t="s">
        <v>27</v>
      </c>
      <c r="F91" t="s">
        <v>28</v>
      </c>
      <c r="G91" t="s">
        <v>50</v>
      </c>
      <c r="H91" t="s">
        <v>22</v>
      </c>
      <c r="I91" s="12">
        <v>0.51</v>
      </c>
      <c r="J91" s="12">
        <v>1.15</v>
      </c>
      <c r="K91" s="16">
        <v>12.75</v>
      </c>
      <c r="L91" s="16">
        <v>11</v>
      </c>
      <c r="M91" s="16">
        <v>0.5</v>
      </c>
      <c r="N91" s="16">
        <v>5</v>
      </c>
      <c r="O91" s="16">
        <v>29.25</v>
      </c>
      <c r="P91" t="s">
        <v>23</v>
      </c>
      <c r="Q91" t="s">
        <v>24</v>
      </c>
    </row>
    <row r="92" spans="1:17">
      <c r="A92" t="s">
        <v>134</v>
      </c>
      <c r="B92" s="14">
        <v>46217</v>
      </c>
      <c r="C92">
        <v>29</v>
      </c>
      <c r="D92" t="s">
        <v>18</v>
      </c>
      <c r="E92" t="s">
        <v>19</v>
      </c>
      <c r="F92" t="s">
        <v>28</v>
      </c>
      <c r="G92" t="s">
        <v>29</v>
      </c>
      <c r="H92" t="s">
        <v>37</v>
      </c>
      <c r="I92" s="12">
        <v>4.69</v>
      </c>
      <c r="J92" s="12">
        <v>0</v>
      </c>
      <c r="K92" s="16">
        <v>117.25</v>
      </c>
      <c r="L92" s="16">
        <v>11</v>
      </c>
      <c r="M92" s="16">
        <v>0.5</v>
      </c>
      <c r="N92" s="16">
        <v>5</v>
      </c>
      <c r="O92" s="16">
        <v>133.75</v>
      </c>
      <c r="P92" t="s">
        <v>23</v>
      </c>
      <c r="Q92" t="s">
        <v>24</v>
      </c>
    </row>
    <row r="93" spans="1:17">
      <c r="A93" t="s">
        <v>135</v>
      </c>
      <c r="B93" s="14">
        <v>46218</v>
      </c>
      <c r="C93">
        <v>29</v>
      </c>
      <c r="D93" t="s">
        <v>26</v>
      </c>
      <c r="E93" t="s">
        <v>27</v>
      </c>
      <c r="F93" t="s">
        <v>28</v>
      </c>
      <c r="G93" t="s">
        <v>29</v>
      </c>
      <c r="H93" t="s">
        <v>45</v>
      </c>
      <c r="I93" s="12">
        <v>4.84</v>
      </c>
      <c r="J93" s="12">
        <v>0.99</v>
      </c>
      <c r="K93" s="16">
        <v>121</v>
      </c>
      <c r="L93" s="16">
        <v>11</v>
      </c>
      <c r="M93" s="16">
        <v>0.5</v>
      </c>
      <c r="N93" s="16">
        <v>5</v>
      </c>
      <c r="O93" s="16">
        <v>137.5</v>
      </c>
      <c r="P93" t="s">
        <v>23</v>
      </c>
      <c r="Q93" t="s">
        <v>24</v>
      </c>
    </row>
    <row r="94" spans="1:17">
      <c r="A94" t="s">
        <v>136</v>
      </c>
      <c r="B94" s="14">
        <v>46227</v>
      </c>
      <c r="C94">
        <v>30</v>
      </c>
      <c r="D94" t="s">
        <v>32</v>
      </c>
      <c r="E94" t="s">
        <v>19</v>
      </c>
      <c r="F94" t="s">
        <v>33</v>
      </c>
      <c r="G94" t="s">
        <v>50</v>
      </c>
      <c r="H94" t="s">
        <v>37</v>
      </c>
      <c r="I94" s="12">
        <v>4.13</v>
      </c>
      <c r="J94" s="12">
        <v>1</v>
      </c>
      <c r="K94" s="16">
        <v>103.25</v>
      </c>
      <c r="L94" s="16">
        <v>11</v>
      </c>
      <c r="M94" s="16">
        <v>0.5</v>
      </c>
      <c r="N94" s="16">
        <v>5</v>
      </c>
      <c r="O94" s="16">
        <v>119.75</v>
      </c>
      <c r="P94" t="s">
        <v>23</v>
      </c>
      <c r="Q94" t="s">
        <v>24</v>
      </c>
    </row>
    <row r="95" spans="1:17">
      <c r="A95" t="s">
        <v>137</v>
      </c>
      <c r="B95" s="14">
        <v>46219</v>
      </c>
      <c r="C95">
        <v>29</v>
      </c>
      <c r="D95" t="s">
        <v>36</v>
      </c>
      <c r="E95" t="s">
        <v>27</v>
      </c>
      <c r="F95" t="s">
        <v>33</v>
      </c>
      <c r="G95" t="s">
        <v>21</v>
      </c>
      <c r="H95" t="s">
        <v>41</v>
      </c>
      <c r="I95" s="12">
        <v>3.9</v>
      </c>
      <c r="J95" s="12">
        <v>0</v>
      </c>
      <c r="K95" s="16">
        <v>97.5</v>
      </c>
      <c r="L95" s="16">
        <v>11</v>
      </c>
      <c r="M95" s="16">
        <v>0.5</v>
      </c>
      <c r="N95" s="16">
        <v>5</v>
      </c>
      <c r="O95" s="16">
        <v>114</v>
      </c>
      <c r="P95" t="s">
        <v>34</v>
      </c>
      <c r="Q95" t="s">
        <v>24</v>
      </c>
    </row>
    <row r="96" spans="1:17">
      <c r="A96" t="s">
        <v>138</v>
      </c>
      <c r="B96" s="14">
        <v>46224</v>
      </c>
      <c r="C96">
        <v>30</v>
      </c>
      <c r="D96" t="s">
        <v>40</v>
      </c>
      <c r="E96" t="s">
        <v>19</v>
      </c>
      <c r="F96" t="s">
        <v>28</v>
      </c>
      <c r="G96" t="s">
        <v>21</v>
      </c>
      <c r="H96" t="s">
        <v>41</v>
      </c>
      <c r="I96" s="12">
        <v>4.34</v>
      </c>
      <c r="J96" s="12">
        <v>1.07</v>
      </c>
      <c r="K96" s="16">
        <v>108.5</v>
      </c>
      <c r="L96" s="16">
        <v>11</v>
      </c>
      <c r="M96" s="16">
        <v>0.5</v>
      </c>
      <c r="N96" s="16">
        <v>5</v>
      </c>
      <c r="O96" s="16">
        <v>125</v>
      </c>
      <c r="P96" t="s">
        <v>23</v>
      </c>
      <c r="Q96" t="s">
        <v>38</v>
      </c>
    </row>
    <row r="97" spans="1:17">
      <c r="A97" t="s">
        <v>139</v>
      </c>
      <c r="B97" s="14">
        <v>46219</v>
      </c>
      <c r="C97">
        <v>29</v>
      </c>
      <c r="D97" t="s">
        <v>43</v>
      </c>
      <c r="E97" t="s">
        <v>27</v>
      </c>
      <c r="F97" t="s">
        <v>33</v>
      </c>
      <c r="G97" t="s">
        <v>21</v>
      </c>
      <c r="H97" t="s">
        <v>30</v>
      </c>
      <c r="I97" s="12">
        <v>3.35</v>
      </c>
      <c r="J97" s="12">
        <v>0.5</v>
      </c>
      <c r="K97" s="16">
        <v>83.75</v>
      </c>
      <c r="L97" s="16">
        <v>11</v>
      </c>
      <c r="M97" s="16">
        <v>0.5</v>
      </c>
      <c r="N97" s="16">
        <v>5</v>
      </c>
      <c r="O97" s="16">
        <v>100.25</v>
      </c>
      <c r="P97" t="s">
        <v>34</v>
      </c>
      <c r="Q97" t="s">
        <v>38</v>
      </c>
    </row>
    <row r="98" spans="1:17">
      <c r="A98" t="s">
        <v>140</v>
      </c>
      <c r="B98" s="14">
        <v>46218</v>
      </c>
      <c r="C98">
        <v>29</v>
      </c>
      <c r="D98" t="s">
        <v>18</v>
      </c>
      <c r="E98" t="s">
        <v>19</v>
      </c>
      <c r="F98" t="s">
        <v>28</v>
      </c>
      <c r="G98" t="s">
        <v>29</v>
      </c>
      <c r="H98" t="s">
        <v>64</v>
      </c>
      <c r="I98" s="12">
        <v>5.35</v>
      </c>
      <c r="J98" s="12">
        <v>0</v>
      </c>
      <c r="K98" s="16">
        <v>133.75</v>
      </c>
      <c r="L98" s="16">
        <v>11</v>
      </c>
      <c r="M98" s="16">
        <v>0.5</v>
      </c>
      <c r="N98" s="16">
        <v>5</v>
      </c>
      <c r="O98" s="16">
        <v>150.25</v>
      </c>
      <c r="P98" t="s">
        <v>23</v>
      </c>
      <c r="Q98" t="s">
        <v>24</v>
      </c>
    </row>
    <row r="99" spans="1:17">
      <c r="A99" t="s">
        <v>141</v>
      </c>
      <c r="B99" s="14">
        <v>46226</v>
      </c>
      <c r="C99">
        <v>30</v>
      </c>
      <c r="D99" t="s">
        <v>26</v>
      </c>
      <c r="E99" t="s">
        <v>27</v>
      </c>
      <c r="F99" t="s">
        <v>20</v>
      </c>
      <c r="G99" t="s">
        <v>21</v>
      </c>
      <c r="H99" t="s">
        <v>64</v>
      </c>
      <c r="I99" s="12">
        <v>4.55</v>
      </c>
      <c r="J99" s="12">
        <v>0.63</v>
      </c>
      <c r="K99" s="16">
        <v>113.75</v>
      </c>
      <c r="L99" s="16">
        <v>11</v>
      </c>
      <c r="M99" s="16">
        <v>0.5</v>
      </c>
      <c r="N99" s="16">
        <v>5</v>
      </c>
      <c r="O99" s="16">
        <v>130.25</v>
      </c>
      <c r="P99" t="s">
        <v>23</v>
      </c>
      <c r="Q99" t="s">
        <v>24</v>
      </c>
    </row>
    <row r="100" spans="1:17">
      <c r="A100" t="s">
        <v>142</v>
      </c>
      <c r="B100" s="14">
        <v>46216</v>
      </c>
      <c r="C100">
        <v>29</v>
      </c>
      <c r="D100" t="s">
        <v>32</v>
      </c>
      <c r="E100" t="s">
        <v>19</v>
      </c>
      <c r="F100" t="s">
        <v>33</v>
      </c>
      <c r="G100" t="s">
        <v>29</v>
      </c>
      <c r="H100" t="s">
        <v>64</v>
      </c>
      <c r="I100" s="12">
        <v>4.36</v>
      </c>
      <c r="J100" s="12">
        <v>0</v>
      </c>
      <c r="K100" s="16">
        <v>109</v>
      </c>
      <c r="L100" s="16">
        <v>11</v>
      </c>
      <c r="M100" s="16">
        <v>0.5</v>
      </c>
      <c r="N100" s="16">
        <v>5</v>
      </c>
      <c r="O100" s="16">
        <v>125.5</v>
      </c>
      <c r="P100" t="s">
        <v>34</v>
      </c>
      <c r="Q100" t="s">
        <v>24</v>
      </c>
    </row>
    <row r="101" spans="1:17">
      <c r="A101" t="s">
        <v>143</v>
      </c>
      <c r="B101" s="14">
        <v>46223</v>
      </c>
      <c r="C101">
        <v>30</v>
      </c>
      <c r="D101" t="s">
        <v>36</v>
      </c>
      <c r="E101" t="s">
        <v>27</v>
      </c>
      <c r="F101" t="s">
        <v>33</v>
      </c>
      <c r="G101" t="s">
        <v>50</v>
      </c>
      <c r="H101" t="s">
        <v>41</v>
      </c>
      <c r="I101" s="12">
        <v>4.51</v>
      </c>
      <c r="J101" s="12">
        <v>0.35</v>
      </c>
      <c r="K101" s="16">
        <v>112.75</v>
      </c>
      <c r="L101" s="16">
        <v>11</v>
      </c>
      <c r="M101" s="16">
        <v>0.5</v>
      </c>
      <c r="N101" s="16">
        <v>5</v>
      </c>
      <c r="O101" s="16">
        <v>129.25</v>
      </c>
      <c r="P101" t="s">
        <v>34</v>
      </c>
      <c r="Q101" t="s">
        <v>24</v>
      </c>
    </row>
    <row r="102" spans="1:17">
      <c r="A102" t="s">
        <v>144</v>
      </c>
      <c r="B102" s="14">
        <v>46219</v>
      </c>
      <c r="C102">
        <v>29</v>
      </c>
      <c r="D102" t="s">
        <v>40</v>
      </c>
      <c r="E102" t="s">
        <v>19</v>
      </c>
      <c r="F102" t="s">
        <v>33</v>
      </c>
      <c r="G102" t="s">
        <v>21</v>
      </c>
      <c r="H102" t="s">
        <v>22</v>
      </c>
      <c r="I102" s="12">
        <v>1.19</v>
      </c>
      <c r="J102" s="12">
        <v>1.38</v>
      </c>
      <c r="K102" s="16">
        <v>29.75</v>
      </c>
      <c r="L102" s="16">
        <v>11</v>
      </c>
      <c r="M102" s="16">
        <v>0.5</v>
      </c>
      <c r="N102" s="16">
        <v>5</v>
      </c>
      <c r="O102" s="16">
        <v>46.25</v>
      </c>
      <c r="P102" t="s">
        <v>34</v>
      </c>
      <c r="Q102" t="s">
        <v>24</v>
      </c>
    </row>
    <row r="103" spans="1:17">
      <c r="A103" t="s">
        <v>145</v>
      </c>
      <c r="B103" s="14">
        <v>46223</v>
      </c>
      <c r="C103">
        <v>30</v>
      </c>
      <c r="D103" t="s">
        <v>43</v>
      </c>
      <c r="E103" t="s">
        <v>27</v>
      </c>
      <c r="F103" t="s">
        <v>44</v>
      </c>
      <c r="G103" t="s">
        <v>29</v>
      </c>
      <c r="H103" t="s">
        <v>22</v>
      </c>
      <c r="I103" s="12">
        <v>1.06</v>
      </c>
      <c r="J103" s="12">
        <v>0</v>
      </c>
      <c r="K103" s="16">
        <v>26.5</v>
      </c>
      <c r="L103" s="16">
        <v>11</v>
      </c>
      <c r="M103" s="16">
        <v>0.5</v>
      </c>
      <c r="N103" s="16">
        <v>5</v>
      </c>
      <c r="O103" s="16">
        <v>43</v>
      </c>
      <c r="P103" t="s">
        <v>34</v>
      </c>
      <c r="Q103" t="s">
        <v>24</v>
      </c>
    </row>
    <row r="104" spans="1:17">
      <c r="A104" t="s">
        <v>146</v>
      </c>
      <c r="B104" s="14">
        <v>46220</v>
      </c>
      <c r="C104">
        <v>29</v>
      </c>
      <c r="D104" t="s">
        <v>18</v>
      </c>
      <c r="E104" t="s">
        <v>19</v>
      </c>
      <c r="F104" t="s">
        <v>44</v>
      </c>
      <c r="G104" t="s">
        <v>21</v>
      </c>
      <c r="H104" t="s">
        <v>45</v>
      </c>
      <c r="I104" s="12">
        <v>3.37</v>
      </c>
      <c r="J104" s="12">
        <v>0.32</v>
      </c>
      <c r="K104" s="16">
        <v>84.25</v>
      </c>
      <c r="L104" s="16">
        <v>11</v>
      </c>
      <c r="M104" s="16">
        <v>0.5</v>
      </c>
      <c r="N104" s="16">
        <v>5</v>
      </c>
      <c r="O104" s="16">
        <v>100.75</v>
      </c>
      <c r="P104" t="s">
        <v>23</v>
      </c>
      <c r="Q104" t="s">
        <v>24</v>
      </c>
    </row>
    <row r="105" spans="1:17">
      <c r="A105" t="s">
        <v>147</v>
      </c>
      <c r="B105" s="14">
        <v>46217</v>
      </c>
      <c r="C105">
        <v>29</v>
      </c>
      <c r="D105" t="s">
        <v>26</v>
      </c>
      <c r="E105" t="s">
        <v>27</v>
      </c>
      <c r="F105" t="s">
        <v>44</v>
      </c>
      <c r="G105" t="s">
        <v>21</v>
      </c>
      <c r="H105" t="s">
        <v>45</v>
      </c>
      <c r="I105" s="12">
        <v>4.73</v>
      </c>
      <c r="J105" s="12">
        <v>0.8</v>
      </c>
      <c r="K105" s="16">
        <v>118.25</v>
      </c>
      <c r="L105" s="16">
        <v>11</v>
      </c>
      <c r="M105" s="16">
        <v>0.5</v>
      </c>
      <c r="N105" s="16">
        <v>5</v>
      </c>
      <c r="O105" s="16">
        <v>134.75</v>
      </c>
      <c r="P105" t="s">
        <v>34</v>
      </c>
      <c r="Q105" t="s">
        <v>24</v>
      </c>
    </row>
    <row r="106" spans="1:17">
      <c r="A106" t="s">
        <v>148</v>
      </c>
      <c r="B106" s="14">
        <v>46220</v>
      </c>
      <c r="C106">
        <v>29</v>
      </c>
      <c r="D106" t="s">
        <v>32</v>
      </c>
      <c r="E106" t="s">
        <v>19</v>
      </c>
      <c r="F106" t="s">
        <v>44</v>
      </c>
      <c r="G106" t="s">
        <v>50</v>
      </c>
      <c r="H106" t="s">
        <v>30</v>
      </c>
      <c r="I106" s="12">
        <v>3.7</v>
      </c>
      <c r="J106" s="12">
        <v>0.44</v>
      </c>
      <c r="K106" s="16">
        <v>92.5</v>
      </c>
      <c r="L106" s="16">
        <v>11</v>
      </c>
      <c r="M106" s="16">
        <v>0.5</v>
      </c>
      <c r="N106" s="16">
        <v>5</v>
      </c>
      <c r="O106" s="16">
        <v>109</v>
      </c>
      <c r="P106" t="s">
        <v>34</v>
      </c>
      <c r="Q106" t="s">
        <v>24</v>
      </c>
    </row>
    <row r="107" spans="1:17">
      <c r="A107" t="s">
        <v>149</v>
      </c>
      <c r="B107" s="14">
        <v>46224</v>
      </c>
      <c r="C107">
        <v>30</v>
      </c>
      <c r="D107" t="s">
        <v>36</v>
      </c>
      <c r="E107" t="s">
        <v>27</v>
      </c>
      <c r="F107" t="s">
        <v>28</v>
      </c>
      <c r="G107" t="s">
        <v>29</v>
      </c>
      <c r="H107" t="s">
        <v>64</v>
      </c>
      <c r="I107" s="12">
        <v>4.77</v>
      </c>
      <c r="J107" s="12">
        <v>1.01</v>
      </c>
      <c r="K107" s="16">
        <v>119.25</v>
      </c>
      <c r="L107" s="16">
        <v>11</v>
      </c>
      <c r="M107" s="16">
        <v>0.5</v>
      </c>
      <c r="N107" s="16">
        <v>5</v>
      </c>
      <c r="O107" s="16">
        <v>135.75</v>
      </c>
      <c r="P107" t="s">
        <v>23</v>
      </c>
      <c r="Q107" t="s">
        <v>24</v>
      </c>
    </row>
    <row r="108" spans="1:17">
      <c r="A108" t="s">
        <v>150</v>
      </c>
      <c r="B108" s="14">
        <v>46219</v>
      </c>
      <c r="C108">
        <v>29</v>
      </c>
      <c r="D108" t="s">
        <v>40</v>
      </c>
      <c r="E108" t="s">
        <v>19</v>
      </c>
      <c r="F108" t="s">
        <v>28</v>
      </c>
      <c r="G108" t="s">
        <v>29</v>
      </c>
      <c r="H108" t="s">
        <v>30</v>
      </c>
      <c r="I108" s="12">
        <v>3.66</v>
      </c>
      <c r="J108" s="12">
        <v>0.74</v>
      </c>
      <c r="K108" s="16">
        <v>91.5</v>
      </c>
      <c r="L108" s="16">
        <v>11</v>
      </c>
      <c r="M108" s="16">
        <v>0.5</v>
      </c>
      <c r="N108" s="16">
        <v>5</v>
      </c>
      <c r="O108" s="16">
        <v>108</v>
      </c>
      <c r="P108" t="s">
        <v>23</v>
      </c>
      <c r="Q108" t="s">
        <v>24</v>
      </c>
    </row>
    <row r="109" spans="1:17">
      <c r="A109" t="s">
        <v>151</v>
      </c>
      <c r="B109" s="14">
        <v>46217</v>
      </c>
      <c r="C109">
        <v>29</v>
      </c>
      <c r="D109" t="s">
        <v>43</v>
      </c>
      <c r="E109" t="s">
        <v>27</v>
      </c>
      <c r="F109" t="s">
        <v>20</v>
      </c>
      <c r="G109" t="s">
        <v>29</v>
      </c>
      <c r="H109" t="s">
        <v>22</v>
      </c>
      <c r="I109" s="12">
        <v>0.5</v>
      </c>
      <c r="J109" s="12">
        <v>0</v>
      </c>
      <c r="K109" s="16">
        <v>12.5</v>
      </c>
      <c r="L109" s="16">
        <v>11</v>
      </c>
      <c r="M109" s="16">
        <v>0.5</v>
      </c>
      <c r="N109" s="16">
        <v>5</v>
      </c>
      <c r="O109" s="16">
        <v>29</v>
      </c>
      <c r="P109" t="s">
        <v>23</v>
      </c>
      <c r="Q109" t="s">
        <v>38</v>
      </c>
    </row>
    <row r="110" spans="1:17">
      <c r="A110" t="s">
        <v>152</v>
      </c>
      <c r="B110" s="14">
        <v>46225</v>
      </c>
      <c r="C110">
        <v>30</v>
      </c>
      <c r="D110" t="s">
        <v>18</v>
      </c>
      <c r="E110" t="s">
        <v>19</v>
      </c>
      <c r="F110" t="s">
        <v>28</v>
      </c>
      <c r="G110" t="s">
        <v>50</v>
      </c>
      <c r="H110" t="s">
        <v>64</v>
      </c>
      <c r="I110" s="12">
        <v>5.24</v>
      </c>
      <c r="J110" s="12">
        <v>0</v>
      </c>
      <c r="K110" s="16">
        <v>131</v>
      </c>
      <c r="L110" s="16">
        <v>11</v>
      </c>
      <c r="M110" s="16">
        <v>0.5</v>
      </c>
      <c r="N110" s="16">
        <v>5</v>
      </c>
      <c r="O110" s="16">
        <v>147.5</v>
      </c>
      <c r="P110" t="s">
        <v>23</v>
      </c>
      <c r="Q110" t="s">
        <v>24</v>
      </c>
    </row>
    <row r="111" spans="1:17">
      <c r="A111" t="s">
        <v>153</v>
      </c>
      <c r="B111" s="14">
        <v>46217</v>
      </c>
      <c r="C111">
        <v>29</v>
      </c>
      <c r="D111" t="s">
        <v>26</v>
      </c>
      <c r="E111" t="s">
        <v>27</v>
      </c>
      <c r="F111" t="s">
        <v>33</v>
      </c>
      <c r="G111" t="s">
        <v>29</v>
      </c>
      <c r="H111" t="s">
        <v>37</v>
      </c>
      <c r="I111" s="12">
        <v>3.26</v>
      </c>
      <c r="J111" s="12">
        <v>0.76</v>
      </c>
      <c r="K111" s="16">
        <v>81.5</v>
      </c>
      <c r="L111" s="16">
        <v>11</v>
      </c>
      <c r="M111" s="16">
        <v>0.5</v>
      </c>
      <c r="N111" s="16">
        <v>5</v>
      </c>
      <c r="O111" s="16">
        <v>98</v>
      </c>
      <c r="P111" t="s">
        <v>34</v>
      </c>
      <c r="Q111" t="s">
        <v>24</v>
      </c>
    </row>
    <row r="112" spans="1:17">
      <c r="A112" t="s">
        <v>154</v>
      </c>
      <c r="B112" s="14">
        <v>46224</v>
      </c>
      <c r="C112">
        <v>30</v>
      </c>
      <c r="D112" t="s">
        <v>32</v>
      </c>
      <c r="E112" t="s">
        <v>19</v>
      </c>
      <c r="F112" t="s">
        <v>20</v>
      </c>
      <c r="G112" t="s">
        <v>50</v>
      </c>
      <c r="H112" t="s">
        <v>64</v>
      </c>
      <c r="I112" s="12">
        <v>4.98</v>
      </c>
      <c r="J112" s="12">
        <v>0.26</v>
      </c>
      <c r="K112" s="16">
        <v>124.5</v>
      </c>
      <c r="L112" s="16">
        <v>11</v>
      </c>
      <c r="M112" s="16">
        <v>0.5</v>
      </c>
      <c r="N112" s="16">
        <v>5</v>
      </c>
      <c r="O112" s="16">
        <v>141</v>
      </c>
      <c r="P112" t="s">
        <v>23</v>
      </c>
      <c r="Q112" t="s">
        <v>24</v>
      </c>
    </row>
    <row r="113" spans="1:17">
      <c r="A113" t="s">
        <v>155</v>
      </c>
      <c r="B113" s="14">
        <v>46225</v>
      </c>
      <c r="C113">
        <v>30</v>
      </c>
      <c r="D113" t="s">
        <v>36</v>
      </c>
      <c r="E113" t="s">
        <v>27</v>
      </c>
      <c r="F113" t="s">
        <v>20</v>
      </c>
      <c r="G113" t="s">
        <v>29</v>
      </c>
      <c r="H113" t="s">
        <v>30</v>
      </c>
      <c r="I113" s="12">
        <v>3.59</v>
      </c>
      <c r="J113" s="12">
        <v>0</v>
      </c>
      <c r="K113" s="16">
        <v>89.75</v>
      </c>
      <c r="L113" s="16">
        <v>11</v>
      </c>
      <c r="M113" s="16">
        <v>0.5</v>
      </c>
      <c r="N113" s="16">
        <v>5</v>
      </c>
      <c r="O113" s="16">
        <v>106.25</v>
      </c>
      <c r="P113" t="s">
        <v>23</v>
      </c>
      <c r="Q113" t="s">
        <v>38</v>
      </c>
    </row>
    <row r="114" spans="1:17">
      <c r="A114" t="s">
        <v>156</v>
      </c>
      <c r="B114" s="14">
        <v>46223</v>
      </c>
      <c r="C114">
        <v>30</v>
      </c>
      <c r="D114" t="s">
        <v>40</v>
      </c>
      <c r="E114" t="s">
        <v>19</v>
      </c>
      <c r="F114" t="s">
        <v>33</v>
      </c>
      <c r="G114" t="s">
        <v>21</v>
      </c>
      <c r="H114" t="s">
        <v>41</v>
      </c>
      <c r="I114" s="12">
        <v>4.59</v>
      </c>
      <c r="J114" s="12">
        <v>0.32</v>
      </c>
      <c r="K114" s="16">
        <v>114.75</v>
      </c>
      <c r="L114" s="16">
        <v>11</v>
      </c>
      <c r="M114" s="16">
        <v>0.5</v>
      </c>
      <c r="N114" s="16">
        <v>5</v>
      </c>
      <c r="O114" s="16">
        <v>131.25</v>
      </c>
      <c r="P114" t="s">
        <v>23</v>
      </c>
      <c r="Q114" t="s">
        <v>24</v>
      </c>
    </row>
    <row r="115" spans="1:17">
      <c r="A115" t="s">
        <v>157</v>
      </c>
      <c r="B115" s="14">
        <v>46220</v>
      </c>
      <c r="C115">
        <v>29</v>
      </c>
      <c r="D115" t="s">
        <v>43</v>
      </c>
      <c r="E115" t="s">
        <v>27</v>
      </c>
      <c r="F115" t="s">
        <v>33</v>
      </c>
      <c r="G115" t="s">
        <v>70</v>
      </c>
      <c r="H115" t="s">
        <v>45</v>
      </c>
      <c r="I115" s="12">
        <v>4.65</v>
      </c>
      <c r="J115" s="12">
        <v>0</v>
      </c>
      <c r="K115" s="16">
        <v>116.25</v>
      </c>
      <c r="L115" s="16">
        <v>11</v>
      </c>
      <c r="M115" s="16">
        <v>0.5</v>
      </c>
      <c r="N115" s="16">
        <v>5</v>
      </c>
      <c r="O115" s="16">
        <v>132.75</v>
      </c>
      <c r="P115" t="s">
        <v>34</v>
      </c>
      <c r="Q115" t="s">
        <v>24</v>
      </c>
    </row>
    <row r="116" spans="1:17">
      <c r="A116" t="s">
        <v>158</v>
      </c>
      <c r="B116" s="14">
        <v>46223</v>
      </c>
      <c r="C116">
        <v>30</v>
      </c>
      <c r="D116" t="s">
        <v>18</v>
      </c>
      <c r="E116" t="s">
        <v>19</v>
      </c>
      <c r="F116" t="s">
        <v>44</v>
      </c>
      <c r="G116" t="s">
        <v>21</v>
      </c>
      <c r="H116" t="s">
        <v>22</v>
      </c>
      <c r="I116" s="12">
        <v>0.5</v>
      </c>
      <c r="J116" s="12">
        <v>0</v>
      </c>
      <c r="K116" s="16">
        <v>12.5</v>
      </c>
      <c r="L116" s="16">
        <v>11</v>
      </c>
      <c r="M116" s="16">
        <v>0.5</v>
      </c>
      <c r="N116" s="16">
        <v>5</v>
      </c>
      <c r="O116" s="16">
        <v>29</v>
      </c>
      <c r="P116" t="s">
        <v>34</v>
      </c>
      <c r="Q116" t="s">
        <v>24</v>
      </c>
    </row>
    <row r="117" spans="1:17">
      <c r="A117" t="s">
        <v>159</v>
      </c>
      <c r="B117" s="14">
        <v>46226</v>
      </c>
      <c r="C117">
        <v>30</v>
      </c>
      <c r="D117" t="s">
        <v>26</v>
      </c>
      <c r="E117" t="s">
        <v>27</v>
      </c>
      <c r="F117" t="s">
        <v>28</v>
      </c>
      <c r="G117" t="s">
        <v>21</v>
      </c>
      <c r="H117" t="s">
        <v>30</v>
      </c>
      <c r="I117" s="12">
        <v>3.07</v>
      </c>
      <c r="J117" s="12">
        <v>0</v>
      </c>
      <c r="K117" s="16">
        <v>76.75</v>
      </c>
      <c r="L117" s="16">
        <v>11</v>
      </c>
      <c r="M117" s="16">
        <v>0.5</v>
      </c>
      <c r="N117" s="16">
        <v>5</v>
      </c>
      <c r="O117" s="16">
        <v>93.25</v>
      </c>
      <c r="P117" t="s">
        <v>23</v>
      </c>
      <c r="Q117" t="s">
        <v>24</v>
      </c>
    </row>
    <row r="118" spans="1:17">
      <c r="A118" t="s">
        <v>160</v>
      </c>
      <c r="B118" s="14">
        <v>46217</v>
      </c>
      <c r="C118">
        <v>29</v>
      </c>
      <c r="D118" t="s">
        <v>32</v>
      </c>
      <c r="E118" t="s">
        <v>19</v>
      </c>
      <c r="F118" t="s">
        <v>28</v>
      </c>
      <c r="G118" t="s">
        <v>70</v>
      </c>
      <c r="H118" t="s">
        <v>30</v>
      </c>
      <c r="I118" s="12">
        <v>2.88</v>
      </c>
      <c r="J118" s="12">
        <v>0</v>
      </c>
      <c r="K118" s="16">
        <v>72</v>
      </c>
      <c r="L118" s="16">
        <v>11</v>
      </c>
      <c r="M118" s="16">
        <v>0.5</v>
      </c>
      <c r="N118" s="16">
        <v>5</v>
      </c>
      <c r="O118" s="16">
        <v>88.5</v>
      </c>
      <c r="P118" t="s">
        <v>23</v>
      </c>
      <c r="Q118" t="s">
        <v>24</v>
      </c>
    </row>
    <row r="119" spans="1:17">
      <c r="A119" t="s">
        <v>161</v>
      </c>
      <c r="B119" s="14">
        <v>46216</v>
      </c>
      <c r="C119">
        <v>29</v>
      </c>
      <c r="D119" t="s">
        <v>36</v>
      </c>
      <c r="E119" t="s">
        <v>27</v>
      </c>
      <c r="F119" t="s">
        <v>28</v>
      </c>
      <c r="G119" t="s">
        <v>29</v>
      </c>
      <c r="H119" t="s">
        <v>64</v>
      </c>
      <c r="I119" s="12">
        <v>4.23</v>
      </c>
      <c r="J119" s="12">
        <v>0.59</v>
      </c>
      <c r="K119" s="16">
        <v>105.75</v>
      </c>
      <c r="L119" s="16">
        <v>11</v>
      </c>
      <c r="M119" s="16">
        <v>0.5</v>
      </c>
      <c r="N119" s="16">
        <v>5</v>
      </c>
      <c r="O119" s="16">
        <v>122.25</v>
      </c>
      <c r="P119" t="s">
        <v>23</v>
      </c>
      <c r="Q119" t="s">
        <v>24</v>
      </c>
    </row>
    <row r="120" spans="1:17">
      <c r="A120" t="s">
        <v>162</v>
      </c>
      <c r="B120" s="14">
        <v>46225</v>
      </c>
      <c r="C120">
        <v>30</v>
      </c>
      <c r="D120" t="s">
        <v>40</v>
      </c>
      <c r="E120" t="s">
        <v>19</v>
      </c>
      <c r="F120" t="s">
        <v>33</v>
      </c>
      <c r="G120" t="s">
        <v>21</v>
      </c>
      <c r="H120" t="s">
        <v>22</v>
      </c>
      <c r="I120" s="12">
        <v>0.51</v>
      </c>
      <c r="J120" s="12">
        <v>0.39</v>
      </c>
      <c r="K120" s="16">
        <v>12.75</v>
      </c>
      <c r="L120" s="16">
        <v>11</v>
      </c>
      <c r="M120" s="16">
        <v>0.5</v>
      </c>
      <c r="N120" s="16">
        <v>5</v>
      </c>
      <c r="O120" s="16">
        <v>29.25</v>
      </c>
      <c r="P120" t="s">
        <v>34</v>
      </c>
      <c r="Q120" t="s">
        <v>24</v>
      </c>
    </row>
    <row r="121" spans="1:17">
      <c r="A121" t="s">
        <v>163</v>
      </c>
      <c r="B121" s="14">
        <v>46219</v>
      </c>
      <c r="C121">
        <v>29</v>
      </c>
      <c r="D121" t="s">
        <v>43</v>
      </c>
      <c r="E121" t="s">
        <v>27</v>
      </c>
      <c r="F121" t="s">
        <v>44</v>
      </c>
      <c r="G121" t="s">
        <v>29</v>
      </c>
      <c r="H121" t="s">
        <v>41</v>
      </c>
      <c r="I121" s="12">
        <v>3.78</v>
      </c>
      <c r="J121" s="12">
        <v>0.94</v>
      </c>
      <c r="K121" s="16">
        <v>94.5</v>
      </c>
      <c r="L121" s="16">
        <v>11</v>
      </c>
      <c r="M121" s="16">
        <v>0.5</v>
      </c>
      <c r="N121" s="16">
        <v>5</v>
      </c>
      <c r="O121" s="16">
        <v>111</v>
      </c>
      <c r="P121" t="s">
        <v>34</v>
      </c>
      <c r="Q121" t="s">
        <v>24</v>
      </c>
    </row>
    <row r="122" spans="1:17">
      <c r="A122" t="s">
        <v>164</v>
      </c>
      <c r="B122" s="14">
        <v>46219</v>
      </c>
      <c r="C122">
        <v>29</v>
      </c>
      <c r="D122" t="s">
        <v>18</v>
      </c>
      <c r="E122" t="s">
        <v>19</v>
      </c>
      <c r="F122" t="s">
        <v>28</v>
      </c>
      <c r="G122" t="s">
        <v>50</v>
      </c>
      <c r="H122" t="s">
        <v>22</v>
      </c>
      <c r="I122" s="12">
        <v>1.21</v>
      </c>
      <c r="J122" s="12">
        <v>0.93</v>
      </c>
      <c r="K122" s="16">
        <v>30.25</v>
      </c>
      <c r="L122" s="16">
        <v>11</v>
      </c>
      <c r="M122" s="16">
        <v>0.5</v>
      </c>
      <c r="N122" s="16">
        <v>5</v>
      </c>
      <c r="O122" s="16">
        <v>46.75</v>
      </c>
      <c r="P122" t="s">
        <v>23</v>
      </c>
      <c r="Q122" t="s">
        <v>24</v>
      </c>
    </row>
    <row r="123" spans="1:17">
      <c r="A123" t="s">
        <v>165</v>
      </c>
      <c r="B123" s="14">
        <v>46220</v>
      </c>
      <c r="C123">
        <v>29</v>
      </c>
      <c r="D123" t="s">
        <v>26</v>
      </c>
      <c r="E123" t="s">
        <v>27</v>
      </c>
      <c r="F123" t="s">
        <v>20</v>
      </c>
      <c r="G123" t="s">
        <v>70</v>
      </c>
      <c r="H123" t="s">
        <v>30</v>
      </c>
      <c r="I123" s="12">
        <v>3.17</v>
      </c>
      <c r="J123" s="12">
        <v>0.49</v>
      </c>
      <c r="K123" s="16">
        <v>79.25</v>
      </c>
      <c r="L123" s="16">
        <v>11</v>
      </c>
      <c r="M123" s="16">
        <v>0.5</v>
      </c>
      <c r="N123" s="16">
        <v>5</v>
      </c>
      <c r="O123" s="16">
        <v>95.75</v>
      </c>
      <c r="P123" t="s">
        <v>23</v>
      </c>
      <c r="Q123" t="s">
        <v>24</v>
      </c>
    </row>
    <row r="124" spans="1:17">
      <c r="A124" t="s">
        <v>166</v>
      </c>
      <c r="B124" s="14">
        <v>46225</v>
      </c>
      <c r="C124">
        <v>30</v>
      </c>
      <c r="D124" t="s">
        <v>32</v>
      </c>
      <c r="E124" t="s">
        <v>19</v>
      </c>
      <c r="F124" t="s">
        <v>33</v>
      </c>
      <c r="G124" t="s">
        <v>29</v>
      </c>
      <c r="H124" t="s">
        <v>22</v>
      </c>
      <c r="I124" s="12">
        <v>0.5</v>
      </c>
      <c r="J124" s="12">
        <v>0</v>
      </c>
      <c r="K124" s="16">
        <v>12.5</v>
      </c>
      <c r="L124" s="16">
        <v>11</v>
      </c>
      <c r="M124" s="16">
        <v>0.5</v>
      </c>
      <c r="N124" s="16">
        <v>5</v>
      </c>
      <c r="O124" s="16">
        <v>29</v>
      </c>
      <c r="P124" t="s">
        <v>34</v>
      </c>
      <c r="Q124" t="s">
        <v>24</v>
      </c>
    </row>
    <row r="125" spans="1:17">
      <c r="A125" t="s">
        <v>167</v>
      </c>
      <c r="B125" s="14">
        <v>46220</v>
      </c>
      <c r="C125">
        <v>29</v>
      </c>
      <c r="D125" t="s">
        <v>36</v>
      </c>
      <c r="E125" t="s">
        <v>27</v>
      </c>
      <c r="F125" t="s">
        <v>28</v>
      </c>
      <c r="G125" t="s">
        <v>70</v>
      </c>
      <c r="H125" t="s">
        <v>37</v>
      </c>
      <c r="I125" s="12">
        <v>3.89</v>
      </c>
      <c r="J125" s="12">
        <v>0</v>
      </c>
      <c r="K125" s="16">
        <v>97.25</v>
      </c>
      <c r="L125" s="16">
        <v>11</v>
      </c>
      <c r="M125" s="16">
        <v>0.5</v>
      </c>
      <c r="N125" s="16">
        <v>5</v>
      </c>
      <c r="O125" s="16">
        <v>113.75</v>
      </c>
      <c r="P125" t="s">
        <v>23</v>
      </c>
      <c r="Q125" t="s">
        <v>24</v>
      </c>
    </row>
    <row r="126" spans="1:17">
      <c r="A126" t="s">
        <v>168</v>
      </c>
      <c r="B126" s="14">
        <v>46223</v>
      </c>
      <c r="C126">
        <v>30</v>
      </c>
      <c r="D126" t="s">
        <v>40</v>
      </c>
      <c r="E126" t="s">
        <v>19</v>
      </c>
      <c r="F126" t="s">
        <v>28</v>
      </c>
      <c r="G126" t="s">
        <v>21</v>
      </c>
      <c r="H126" t="s">
        <v>37</v>
      </c>
      <c r="I126" s="12">
        <v>3.65</v>
      </c>
      <c r="J126" s="12">
        <v>0</v>
      </c>
      <c r="K126" s="16">
        <v>91.25</v>
      </c>
      <c r="L126" s="16">
        <v>11</v>
      </c>
      <c r="M126" s="16">
        <v>0.5</v>
      </c>
      <c r="N126" s="16">
        <v>5</v>
      </c>
      <c r="O126" s="16">
        <v>107.75</v>
      </c>
      <c r="P126" t="s">
        <v>23</v>
      </c>
      <c r="Q126" t="s">
        <v>24</v>
      </c>
    </row>
    <row r="127" spans="1:17">
      <c r="A127" t="s">
        <v>169</v>
      </c>
      <c r="B127" s="14">
        <v>46216</v>
      </c>
      <c r="C127">
        <v>29</v>
      </c>
      <c r="D127" t="s">
        <v>43</v>
      </c>
      <c r="E127" t="s">
        <v>27</v>
      </c>
      <c r="F127" t="s">
        <v>28</v>
      </c>
      <c r="G127" t="s">
        <v>29</v>
      </c>
      <c r="H127" t="s">
        <v>45</v>
      </c>
      <c r="I127" s="12">
        <v>4.39</v>
      </c>
      <c r="J127" s="12">
        <v>0</v>
      </c>
      <c r="K127" s="16">
        <v>109.75</v>
      </c>
      <c r="L127" s="16">
        <v>11</v>
      </c>
      <c r="M127" s="16">
        <v>0.5</v>
      </c>
      <c r="N127" s="16">
        <v>5</v>
      </c>
      <c r="O127" s="16">
        <v>126.25</v>
      </c>
      <c r="P127" t="s">
        <v>23</v>
      </c>
      <c r="Q127" t="s">
        <v>24</v>
      </c>
    </row>
    <row r="128" spans="1:17">
      <c r="A128" t="s">
        <v>170</v>
      </c>
      <c r="B128" s="14">
        <v>46216</v>
      </c>
      <c r="C128">
        <v>29</v>
      </c>
      <c r="D128" t="s">
        <v>18</v>
      </c>
      <c r="E128" t="s">
        <v>19</v>
      </c>
      <c r="F128" t="s">
        <v>20</v>
      </c>
      <c r="G128" t="s">
        <v>21</v>
      </c>
      <c r="H128" t="s">
        <v>37</v>
      </c>
      <c r="I128" s="12">
        <v>3.52</v>
      </c>
      <c r="J128" s="12">
        <v>0.95</v>
      </c>
      <c r="K128" s="16">
        <v>88</v>
      </c>
      <c r="L128" s="16">
        <v>11</v>
      </c>
      <c r="M128" s="16">
        <v>0.5</v>
      </c>
      <c r="N128" s="16">
        <v>5</v>
      </c>
      <c r="O128" s="16">
        <v>104.5</v>
      </c>
      <c r="P128" t="s">
        <v>23</v>
      </c>
      <c r="Q128" t="s">
        <v>24</v>
      </c>
    </row>
    <row r="129" spans="1:17">
      <c r="A129" t="s">
        <v>171</v>
      </c>
      <c r="B129" s="14">
        <v>46225</v>
      </c>
      <c r="C129">
        <v>30</v>
      </c>
      <c r="D129" t="s">
        <v>26</v>
      </c>
      <c r="E129" t="s">
        <v>27</v>
      </c>
      <c r="F129" t="s">
        <v>33</v>
      </c>
      <c r="G129" t="s">
        <v>21</v>
      </c>
      <c r="H129" t="s">
        <v>45</v>
      </c>
      <c r="I129" s="12">
        <v>3.25</v>
      </c>
      <c r="J129" s="12">
        <v>0.93</v>
      </c>
      <c r="K129" s="16">
        <v>81.25</v>
      </c>
      <c r="L129" s="16">
        <v>11</v>
      </c>
      <c r="M129" s="16">
        <v>0.5</v>
      </c>
      <c r="N129" s="16">
        <v>5</v>
      </c>
      <c r="O129" s="16">
        <v>97.75</v>
      </c>
      <c r="P129" t="s">
        <v>23</v>
      </c>
      <c r="Q129" t="s">
        <v>38</v>
      </c>
    </row>
    <row r="130" spans="1:17">
      <c r="A130" t="s">
        <v>172</v>
      </c>
      <c r="B130" s="14">
        <v>46223</v>
      </c>
      <c r="C130">
        <v>30</v>
      </c>
      <c r="D130" t="s">
        <v>32</v>
      </c>
      <c r="E130" t="s">
        <v>19</v>
      </c>
      <c r="F130" t="s">
        <v>33</v>
      </c>
      <c r="G130" t="s">
        <v>21</v>
      </c>
      <c r="H130" t="s">
        <v>64</v>
      </c>
      <c r="I130" s="12">
        <v>4.17</v>
      </c>
      <c r="J130" s="12">
        <v>0.55</v>
      </c>
      <c r="K130" s="16">
        <v>104.25</v>
      </c>
      <c r="L130" s="16">
        <v>11</v>
      </c>
      <c r="M130" s="16">
        <v>0.5</v>
      </c>
      <c r="N130" s="16">
        <v>5</v>
      </c>
      <c r="O130" s="16">
        <v>120.75</v>
      </c>
      <c r="P130" t="s">
        <v>34</v>
      </c>
      <c r="Q130" t="s">
        <v>24</v>
      </c>
    </row>
    <row r="131" spans="1:17">
      <c r="A131" t="s">
        <v>173</v>
      </c>
      <c r="B131" s="14">
        <v>46224</v>
      </c>
      <c r="C131">
        <v>30</v>
      </c>
      <c r="D131" t="s">
        <v>36</v>
      </c>
      <c r="E131" t="s">
        <v>27</v>
      </c>
      <c r="F131" t="s">
        <v>44</v>
      </c>
      <c r="G131" t="s">
        <v>29</v>
      </c>
      <c r="H131" t="s">
        <v>41</v>
      </c>
      <c r="I131" s="12">
        <v>3.65</v>
      </c>
      <c r="J131" s="12">
        <v>0</v>
      </c>
      <c r="K131" s="16">
        <v>91.25</v>
      </c>
      <c r="L131" s="16">
        <v>11</v>
      </c>
      <c r="M131" s="16">
        <v>0.5</v>
      </c>
      <c r="N131" s="16">
        <v>5</v>
      </c>
      <c r="O131" s="16">
        <v>107.75</v>
      </c>
      <c r="P131" t="s">
        <v>34</v>
      </c>
      <c r="Q131" t="s">
        <v>24</v>
      </c>
    </row>
    <row r="132" spans="1:17">
      <c r="A132" t="s">
        <v>174</v>
      </c>
      <c r="B132" s="14">
        <v>46216</v>
      </c>
      <c r="C132">
        <v>29</v>
      </c>
      <c r="D132" t="s">
        <v>40</v>
      </c>
      <c r="E132" t="s">
        <v>19</v>
      </c>
      <c r="F132" t="s">
        <v>28</v>
      </c>
      <c r="G132" t="s">
        <v>29</v>
      </c>
      <c r="H132" t="s">
        <v>37</v>
      </c>
      <c r="I132" s="12">
        <v>3.87</v>
      </c>
      <c r="J132" s="12">
        <v>0.26</v>
      </c>
      <c r="K132" s="16">
        <v>96.75</v>
      </c>
      <c r="L132" s="16">
        <v>11</v>
      </c>
      <c r="M132" s="16">
        <v>0.5</v>
      </c>
      <c r="N132" s="16">
        <v>5</v>
      </c>
      <c r="O132" s="16">
        <v>113.25</v>
      </c>
      <c r="P132" t="s">
        <v>23</v>
      </c>
      <c r="Q132" t="s">
        <v>24</v>
      </c>
    </row>
    <row r="133" spans="1:17">
      <c r="A133" t="s">
        <v>175</v>
      </c>
      <c r="B133" s="14">
        <v>46220</v>
      </c>
      <c r="C133">
        <v>29</v>
      </c>
      <c r="D133" t="s">
        <v>43</v>
      </c>
      <c r="E133" t="s">
        <v>27</v>
      </c>
      <c r="F133" t="s">
        <v>33</v>
      </c>
      <c r="G133" t="s">
        <v>29</v>
      </c>
      <c r="H133" t="s">
        <v>37</v>
      </c>
      <c r="I133" s="12">
        <v>4.17</v>
      </c>
      <c r="J133" s="12">
        <v>0</v>
      </c>
      <c r="K133" s="16">
        <v>104.25</v>
      </c>
      <c r="L133" s="16">
        <v>11</v>
      </c>
      <c r="M133" s="16">
        <v>0.5</v>
      </c>
      <c r="N133" s="16">
        <v>5</v>
      </c>
      <c r="O133" s="16">
        <v>120.75</v>
      </c>
      <c r="P133" t="s">
        <v>23</v>
      </c>
      <c r="Q133" t="s">
        <v>24</v>
      </c>
    </row>
    <row r="134" spans="1:17">
      <c r="A134" t="s">
        <v>176</v>
      </c>
      <c r="B134" s="14">
        <v>46223</v>
      </c>
      <c r="C134">
        <v>30</v>
      </c>
      <c r="D134" t="s">
        <v>18</v>
      </c>
      <c r="E134" t="s">
        <v>19</v>
      </c>
      <c r="F134" t="s">
        <v>28</v>
      </c>
      <c r="G134" t="s">
        <v>29</v>
      </c>
      <c r="H134" t="s">
        <v>22</v>
      </c>
      <c r="I134" s="12">
        <v>1.13</v>
      </c>
      <c r="J134" s="12">
        <v>0</v>
      </c>
      <c r="K134" s="16">
        <v>28.25</v>
      </c>
      <c r="L134" s="16">
        <v>11</v>
      </c>
      <c r="M134" s="16">
        <v>0.5</v>
      </c>
      <c r="N134" s="16">
        <v>5</v>
      </c>
      <c r="O134" s="16">
        <v>44.75</v>
      </c>
      <c r="P134" t="s">
        <v>23</v>
      </c>
      <c r="Q134" t="s">
        <v>24</v>
      </c>
    </row>
    <row r="135" spans="1:17">
      <c r="A135" t="s">
        <v>177</v>
      </c>
      <c r="B135" s="14">
        <v>46230</v>
      </c>
      <c r="C135">
        <v>31</v>
      </c>
      <c r="D135" t="s">
        <v>26</v>
      </c>
      <c r="E135" t="s">
        <v>27</v>
      </c>
      <c r="F135" t="s">
        <v>33</v>
      </c>
      <c r="G135" t="s">
        <v>21</v>
      </c>
      <c r="H135" t="s">
        <v>45</v>
      </c>
      <c r="I135" s="12">
        <v>4.07</v>
      </c>
      <c r="J135" s="12">
        <v>0</v>
      </c>
      <c r="K135" s="16">
        <v>101.75</v>
      </c>
      <c r="L135" s="16">
        <v>11</v>
      </c>
      <c r="M135" s="16">
        <v>0.5</v>
      </c>
      <c r="N135" s="16">
        <v>5</v>
      </c>
      <c r="O135" s="16">
        <v>118.25</v>
      </c>
      <c r="P135" t="s">
        <v>23</v>
      </c>
      <c r="Q135" t="s">
        <v>24</v>
      </c>
    </row>
    <row r="136" spans="1:17">
      <c r="A136" t="s">
        <v>178</v>
      </c>
      <c r="B136" s="14">
        <v>46216</v>
      </c>
      <c r="C136">
        <v>29</v>
      </c>
      <c r="D136" t="s">
        <v>32</v>
      </c>
      <c r="E136" t="s">
        <v>19</v>
      </c>
      <c r="F136" t="s">
        <v>28</v>
      </c>
      <c r="G136" t="s">
        <v>29</v>
      </c>
      <c r="H136" t="s">
        <v>45</v>
      </c>
      <c r="I136" s="12">
        <v>3.63</v>
      </c>
      <c r="J136" s="12">
        <v>0.47</v>
      </c>
      <c r="K136" s="16">
        <v>90.75</v>
      </c>
      <c r="L136" s="16">
        <v>11</v>
      </c>
      <c r="M136" s="16">
        <v>0.5</v>
      </c>
      <c r="N136" s="16">
        <v>5</v>
      </c>
      <c r="O136" s="16">
        <v>107.25</v>
      </c>
      <c r="P136" t="s">
        <v>23</v>
      </c>
      <c r="Q136" t="s">
        <v>24</v>
      </c>
    </row>
    <row r="137" spans="1:17">
      <c r="A137" t="s">
        <v>179</v>
      </c>
      <c r="B137" s="14">
        <v>46219</v>
      </c>
      <c r="C137">
        <v>29</v>
      </c>
      <c r="D137" t="s">
        <v>36</v>
      </c>
      <c r="E137" t="s">
        <v>27</v>
      </c>
      <c r="F137" t="s">
        <v>20</v>
      </c>
      <c r="G137" t="s">
        <v>29</v>
      </c>
      <c r="H137" t="s">
        <v>37</v>
      </c>
      <c r="I137" s="12">
        <v>3.14</v>
      </c>
      <c r="J137" s="12">
        <v>0.3</v>
      </c>
      <c r="K137" s="16">
        <v>78.5</v>
      </c>
      <c r="L137" s="16">
        <v>11</v>
      </c>
      <c r="M137" s="16">
        <v>0.5</v>
      </c>
      <c r="N137" s="16">
        <v>5</v>
      </c>
      <c r="O137" s="16">
        <v>95</v>
      </c>
      <c r="P137" t="s">
        <v>23</v>
      </c>
      <c r="Q137" t="s">
        <v>24</v>
      </c>
    </row>
    <row r="138" spans="1:17">
      <c r="A138" t="s">
        <v>180</v>
      </c>
      <c r="B138" s="14">
        <v>46230</v>
      </c>
      <c r="C138">
        <v>31</v>
      </c>
      <c r="D138" t="s">
        <v>40</v>
      </c>
      <c r="E138" t="s">
        <v>19</v>
      </c>
      <c r="F138" t="s">
        <v>95</v>
      </c>
      <c r="G138" t="s">
        <v>29</v>
      </c>
      <c r="H138" t="s">
        <v>64</v>
      </c>
      <c r="I138" s="12">
        <v>4.33</v>
      </c>
      <c r="J138" s="12">
        <v>0.3</v>
      </c>
      <c r="K138" s="16">
        <v>108.25</v>
      </c>
      <c r="L138" s="16">
        <v>11</v>
      </c>
      <c r="M138" s="16">
        <v>0.5</v>
      </c>
      <c r="N138" s="16">
        <v>5</v>
      </c>
      <c r="O138" s="16">
        <v>124.75</v>
      </c>
      <c r="P138" t="s">
        <v>23</v>
      </c>
      <c r="Q138" t="s">
        <v>24</v>
      </c>
    </row>
    <row r="139" spans="1:17">
      <c r="A139" t="s">
        <v>181</v>
      </c>
      <c r="B139" s="14">
        <v>46225</v>
      </c>
      <c r="C139">
        <v>30</v>
      </c>
      <c r="D139" t="s">
        <v>43</v>
      </c>
      <c r="E139" t="s">
        <v>27</v>
      </c>
      <c r="F139" t="s">
        <v>28</v>
      </c>
      <c r="G139" t="s">
        <v>21</v>
      </c>
      <c r="H139" t="s">
        <v>41</v>
      </c>
      <c r="I139" s="12">
        <v>3.28</v>
      </c>
      <c r="J139" s="12">
        <v>0.38</v>
      </c>
      <c r="K139" s="16">
        <v>82</v>
      </c>
      <c r="L139" s="16">
        <v>11</v>
      </c>
      <c r="M139" s="16">
        <v>0.5</v>
      </c>
      <c r="N139" s="16">
        <v>5</v>
      </c>
      <c r="O139" s="16">
        <v>98.5</v>
      </c>
      <c r="P139" t="s">
        <v>23</v>
      </c>
      <c r="Q139" t="s">
        <v>24</v>
      </c>
    </row>
    <row r="140" spans="1:17">
      <c r="A140" t="s">
        <v>182</v>
      </c>
      <c r="B140" s="14">
        <v>46226</v>
      </c>
      <c r="C140">
        <v>30</v>
      </c>
      <c r="D140" t="s">
        <v>18</v>
      </c>
      <c r="E140" t="s">
        <v>19</v>
      </c>
      <c r="F140" t="s">
        <v>28</v>
      </c>
      <c r="G140" t="s">
        <v>21</v>
      </c>
      <c r="H140" t="s">
        <v>64</v>
      </c>
      <c r="I140" s="12">
        <v>5.03</v>
      </c>
      <c r="J140" s="12">
        <v>0.76</v>
      </c>
      <c r="K140" s="16">
        <v>125.75</v>
      </c>
      <c r="L140" s="16">
        <v>11</v>
      </c>
      <c r="M140" s="16">
        <v>0.5</v>
      </c>
      <c r="N140" s="16">
        <v>5</v>
      </c>
      <c r="O140" s="16">
        <v>142.25</v>
      </c>
      <c r="P140" t="s">
        <v>23</v>
      </c>
      <c r="Q140" t="s">
        <v>24</v>
      </c>
    </row>
    <row r="141" spans="1:17">
      <c r="A141" t="s">
        <v>183</v>
      </c>
      <c r="B141" s="14">
        <v>46226</v>
      </c>
      <c r="C141">
        <v>30</v>
      </c>
      <c r="D141" t="s">
        <v>26</v>
      </c>
      <c r="E141" t="s">
        <v>27</v>
      </c>
      <c r="F141" t="s">
        <v>28</v>
      </c>
      <c r="G141" t="s">
        <v>50</v>
      </c>
      <c r="H141" t="s">
        <v>64</v>
      </c>
      <c r="I141" s="12">
        <v>5.04</v>
      </c>
      <c r="J141" s="12">
        <v>1.05</v>
      </c>
      <c r="K141" s="16">
        <v>126</v>
      </c>
      <c r="L141" s="16">
        <v>11</v>
      </c>
      <c r="M141" s="16">
        <v>0.5</v>
      </c>
      <c r="N141" s="16">
        <v>5</v>
      </c>
      <c r="O141" s="16">
        <v>142.5</v>
      </c>
      <c r="P141" t="s">
        <v>23</v>
      </c>
      <c r="Q141" t="s">
        <v>24</v>
      </c>
    </row>
    <row r="142" spans="1:17">
      <c r="A142" t="s">
        <v>184</v>
      </c>
      <c r="B142" s="14">
        <v>46223</v>
      </c>
      <c r="C142">
        <v>30</v>
      </c>
      <c r="D142" t="s">
        <v>32</v>
      </c>
      <c r="E142" t="s">
        <v>19</v>
      </c>
      <c r="F142" t="s">
        <v>33</v>
      </c>
      <c r="G142" t="s">
        <v>21</v>
      </c>
      <c r="H142" t="s">
        <v>64</v>
      </c>
      <c r="I142" s="12">
        <v>4.63</v>
      </c>
      <c r="J142" s="12">
        <v>0</v>
      </c>
      <c r="K142" s="16">
        <v>115.75</v>
      </c>
      <c r="L142" s="16">
        <v>11</v>
      </c>
      <c r="M142" s="16">
        <v>0.5</v>
      </c>
      <c r="N142" s="16">
        <v>5</v>
      </c>
      <c r="O142" s="16">
        <v>132.25</v>
      </c>
      <c r="P142" t="s">
        <v>23</v>
      </c>
      <c r="Q142" t="s">
        <v>24</v>
      </c>
    </row>
    <row r="143" spans="1:17">
      <c r="A143" t="s">
        <v>185</v>
      </c>
      <c r="B143" s="14">
        <v>46216</v>
      </c>
      <c r="C143">
        <v>29</v>
      </c>
      <c r="D143" t="s">
        <v>36</v>
      </c>
      <c r="E143" t="s">
        <v>27</v>
      </c>
      <c r="F143" t="s">
        <v>44</v>
      </c>
      <c r="G143" t="s">
        <v>29</v>
      </c>
      <c r="H143" t="s">
        <v>37</v>
      </c>
      <c r="I143" s="12">
        <v>3.79</v>
      </c>
      <c r="J143" s="12">
        <v>0</v>
      </c>
      <c r="K143" s="16">
        <v>94.75</v>
      </c>
      <c r="L143" s="16">
        <v>11</v>
      </c>
      <c r="M143" s="16">
        <v>0.5</v>
      </c>
      <c r="N143" s="16">
        <v>5</v>
      </c>
      <c r="O143" s="16">
        <v>111.25</v>
      </c>
      <c r="P143" t="s">
        <v>34</v>
      </c>
      <c r="Q143" t="s">
        <v>24</v>
      </c>
    </row>
    <row r="144" spans="1:17">
      <c r="A144" t="s">
        <v>186</v>
      </c>
      <c r="B144" s="14">
        <v>46223</v>
      </c>
      <c r="C144">
        <v>30</v>
      </c>
      <c r="D144" t="s">
        <v>40</v>
      </c>
      <c r="E144" t="s">
        <v>19</v>
      </c>
      <c r="F144" t="s">
        <v>33</v>
      </c>
      <c r="G144" t="s">
        <v>29</v>
      </c>
      <c r="H144" t="s">
        <v>22</v>
      </c>
      <c r="I144" s="12">
        <v>0.79</v>
      </c>
      <c r="J144" s="12">
        <v>0</v>
      </c>
      <c r="K144" s="16">
        <v>19.75</v>
      </c>
      <c r="L144" s="16">
        <v>11</v>
      </c>
      <c r="M144" s="16">
        <v>0.5</v>
      </c>
      <c r="N144" s="16">
        <v>5</v>
      </c>
      <c r="O144" s="16">
        <v>36.25</v>
      </c>
      <c r="P144" t="s">
        <v>34</v>
      </c>
      <c r="Q144" t="s">
        <v>24</v>
      </c>
    </row>
    <row r="145" spans="1:17">
      <c r="A145" t="s">
        <v>187</v>
      </c>
      <c r="B145" s="14">
        <v>46220</v>
      </c>
      <c r="C145">
        <v>29</v>
      </c>
      <c r="D145" t="s">
        <v>43</v>
      </c>
      <c r="E145" t="s">
        <v>27</v>
      </c>
      <c r="F145" t="s">
        <v>44</v>
      </c>
      <c r="G145" t="s">
        <v>29</v>
      </c>
      <c r="H145" t="s">
        <v>30</v>
      </c>
      <c r="I145" s="12">
        <v>3.05</v>
      </c>
      <c r="J145" s="12">
        <v>0</v>
      </c>
      <c r="K145" s="16">
        <v>76.25</v>
      </c>
      <c r="L145" s="16">
        <v>11</v>
      </c>
      <c r="M145" s="16">
        <v>0.5</v>
      </c>
      <c r="N145" s="16">
        <v>5</v>
      </c>
      <c r="O145" s="16">
        <v>92.75</v>
      </c>
      <c r="P145" t="s">
        <v>34</v>
      </c>
      <c r="Q145" t="s">
        <v>24</v>
      </c>
    </row>
    <row r="146" spans="1:17">
      <c r="A146" t="s">
        <v>188</v>
      </c>
      <c r="B146" s="14">
        <v>46227</v>
      </c>
      <c r="C146">
        <v>30</v>
      </c>
      <c r="D146" t="s">
        <v>18</v>
      </c>
      <c r="E146" t="s">
        <v>19</v>
      </c>
      <c r="F146" t="s">
        <v>33</v>
      </c>
      <c r="G146" t="s">
        <v>21</v>
      </c>
      <c r="H146" t="s">
        <v>41</v>
      </c>
      <c r="I146" s="12">
        <v>4.48</v>
      </c>
      <c r="J146" s="12">
        <v>0.41</v>
      </c>
      <c r="K146" s="16">
        <v>112</v>
      </c>
      <c r="L146" s="16">
        <v>11</v>
      </c>
      <c r="M146" s="16">
        <v>0.5</v>
      </c>
      <c r="N146" s="16">
        <v>5</v>
      </c>
      <c r="O146" s="16">
        <v>128.5</v>
      </c>
      <c r="P146" t="s">
        <v>34</v>
      </c>
      <c r="Q146" t="s">
        <v>24</v>
      </c>
    </row>
    <row r="147" spans="1:17">
      <c r="A147" t="s">
        <v>189</v>
      </c>
      <c r="B147" s="14">
        <v>46226</v>
      </c>
      <c r="C147">
        <v>30</v>
      </c>
      <c r="D147" t="s">
        <v>26</v>
      </c>
      <c r="E147" t="s">
        <v>27</v>
      </c>
      <c r="F147" t="s">
        <v>33</v>
      </c>
      <c r="G147" t="s">
        <v>21</v>
      </c>
      <c r="H147" t="s">
        <v>45</v>
      </c>
      <c r="I147" s="12">
        <v>4.54</v>
      </c>
      <c r="J147" s="12">
        <v>0.59</v>
      </c>
      <c r="K147" s="16">
        <v>113.5</v>
      </c>
      <c r="L147" s="16">
        <v>11</v>
      </c>
      <c r="M147" s="16">
        <v>0.5</v>
      </c>
      <c r="N147" s="16">
        <v>5</v>
      </c>
      <c r="O147" s="16">
        <v>130</v>
      </c>
      <c r="P147" t="s">
        <v>23</v>
      </c>
      <c r="Q147" t="s">
        <v>24</v>
      </c>
    </row>
    <row r="148" spans="1:17">
      <c r="A148" t="s">
        <v>190</v>
      </c>
      <c r="B148" s="14">
        <v>46220</v>
      </c>
      <c r="C148">
        <v>29</v>
      </c>
      <c r="D148" t="s">
        <v>32</v>
      </c>
      <c r="E148" t="s">
        <v>19</v>
      </c>
      <c r="F148" t="s">
        <v>33</v>
      </c>
      <c r="G148" t="s">
        <v>29</v>
      </c>
      <c r="H148" t="s">
        <v>30</v>
      </c>
      <c r="I148" s="12">
        <v>2.47</v>
      </c>
      <c r="J148" s="12">
        <v>0.85</v>
      </c>
      <c r="K148" s="16">
        <v>61.75</v>
      </c>
      <c r="L148" s="16">
        <v>11</v>
      </c>
      <c r="M148" s="16">
        <v>0.5</v>
      </c>
      <c r="N148" s="16">
        <v>5</v>
      </c>
      <c r="O148" s="16">
        <v>78.25</v>
      </c>
      <c r="P148" t="s">
        <v>34</v>
      </c>
      <c r="Q148" t="s">
        <v>24</v>
      </c>
    </row>
    <row r="149" spans="1:17">
      <c r="A149" t="s">
        <v>191</v>
      </c>
      <c r="B149" s="14">
        <v>46227</v>
      </c>
      <c r="C149">
        <v>30</v>
      </c>
      <c r="D149" t="s">
        <v>36</v>
      </c>
      <c r="E149" t="s">
        <v>27</v>
      </c>
      <c r="F149" t="s">
        <v>28</v>
      </c>
      <c r="G149" t="s">
        <v>21</v>
      </c>
      <c r="H149" t="s">
        <v>41</v>
      </c>
      <c r="I149" s="12">
        <v>4.11</v>
      </c>
      <c r="J149" s="12">
        <v>0.35</v>
      </c>
      <c r="K149" s="16">
        <v>102.75</v>
      </c>
      <c r="L149" s="16">
        <v>11</v>
      </c>
      <c r="M149" s="16">
        <v>0.5</v>
      </c>
      <c r="N149" s="16">
        <v>5</v>
      </c>
      <c r="O149" s="16">
        <v>119.25</v>
      </c>
      <c r="P149" t="s">
        <v>23</v>
      </c>
      <c r="Q149" t="s">
        <v>24</v>
      </c>
    </row>
    <row r="150" spans="1:17">
      <c r="A150" t="s">
        <v>192</v>
      </c>
      <c r="B150" s="14">
        <v>46226</v>
      </c>
      <c r="C150">
        <v>30</v>
      </c>
      <c r="D150" t="s">
        <v>40</v>
      </c>
      <c r="E150" t="s">
        <v>19</v>
      </c>
      <c r="F150" t="s">
        <v>33</v>
      </c>
      <c r="G150" t="s">
        <v>50</v>
      </c>
      <c r="H150" t="s">
        <v>22</v>
      </c>
      <c r="I150" s="12">
        <v>0.63</v>
      </c>
      <c r="J150" s="12">
        <v>0</v>
      </c>
      <c r="K150" s="16">
        <v>15.75</v>
      </c>
      <c r="L150" s="16">
        <v>11</v>
      </c>
      <c r="M150" s="16">
        <v>0.5</v>
      </c>
      <c r="N150" s="16">
        <v>5</v>
      </c>
      <c r="O150" s="16">
        <v>32.25</v>
      </c>
      <c r="P150" t="s">
        <v>23</v>
      </c>
      <c r="Q150" t="s">
        <v>24</v>
      </c>
    </row>
    <row r="151" spans="1:17">
      <c r="A151" t="s">
        <v>193</v>
      </c>
      <c r="B151" s="14">
        <v>46220</v>
      </c>
      <c r="C151">
        <v>29</v>
      </c>
      <c r="D151" t="s">
        <v>43</v>
      </c>
      <c r="E151" t="s">
        <v>27</v>
      </c>
      <c r="F151" t="s">
        <v>33</v>
      </c>
      <c r="G151" t="s">
        <v>21</v>
      </c>
      <c r="H151" t="s">
        <v>37</v>
      </c>
      <c r="I151" s="12">
        <v>3.31</v>
      </c>
      <c r="J151" s="12">
        <v>0</v>
      </c>
      <c r="K151" s="16">
        <v>82.75</v>
      </c>
      <c r="L151" s="16">
        <v>11</v>
      </c>
      <c r="M151" s="16">
        <v>0.5</v>
      </c>
      <c r="N151" s="16">
        <v>5</v>
      </c>
      <c r="O151" s="16">
        <v>99.25</v>
      </c>
      <c r="P151" t="s">
        <v>34</v>
      </c>
      <c r="Q151" t="s">
        <v>24</v>
      </c>
    </row>
    <row r="152" spans="1:17">
      <c r="A152" t="s">
        <v>194</v>
      </c>
      <c r="B152" s="14">
        <v>46223</v>
      </c>
      <c r="C152">
        <v>30</v>
      </c>
      <c r="D152" t="s">
        <v>18</v>
      </c>
      <c r="E152" t="s">
        <v>19</v>
      </c>
      <c r="F152" t="s">
        <v>28</v>
      </c>
      <c r="G152" t="s">
        <v>21</v>
      </c>
      <c r="H152" t="s">
        <v>37</v>
      </c>
      <c r="I152" s="12">
        <v>3.57</v>
      </c>
      <c r="J152" s="12">
        <v>0</v>
      </c>
      <c r="K152" s="16">
        <v>89.25</v>
      </c>
      <c r="L152" s="16">
        <v>11</v>
      </c>
      <c r="M152" s="16">
        <v>0.5</v>
      </c>
      <c r="N152" s="16">
        <v>5</v>
      </c>
      <c r="O152" s="16">
        <v>105.75</v>
      </c>
      <c r="P152" t="s">
        <v>23</v>
      </c>
      <c r="Q152" t="s">
        <v>38</v>
      </c>
    </row>
    <row r="153" spans="1:17">
      <c r="A153" t="s">
        <v>195</v>
      </c>
      <c r="B153" s="14">
        <v>46219</v>
      </c>
      <c r="C153">
        <v>29</v>
      </c>
      <c r="D153" t="s">
        <v>26</v>
      </c>
      <c r="E153" t="s">
        <v>27</v>
      </c>
      <c r="F153" t="s">
        <v>28</v>
      </c>
      <c r="G153" t="s">
        <v>29</v>
      </c>
      <c r="H153" t="s">
        <v>41</v>
      </c>
      <c r="I153" s="12">
        <v>4.14</v>
      </c>
      <c r="J153" s="12">
        <v>0.48</v>
      </c>
      <c r="K153" s="16">
        <v>103.5</v>
      </c>
      <c r="L153" s="16">
        <v>11</v>
      </c>
      <c r="M153" s="16">
        <v>0.5</v>
      </c>
      <c r="N153" s="16">
        <v>5</v>
      </c>
      <c r="O153" s="16">
        <v>120</v>
      </c>
      <c r="P153" t="s">
        <v>23</v>
      </c>
      <c r="Q153" t="s">
        <v>24</v>
      </c>
    </row>
    <row r="154" spans="1:17">
      <c r="A154" t="s">
        <v>196</v>
      </c>
      <c r="B154" s="14">
        <v>46218</v>
      </c>
      <c r="C154">
        <v>29</v>
      </c>
      <c r="D154" t="s">
        <v>32</v>
      </c>
      <c r="E154" t="s">
        <v>19</v>
      </c>
      <c r="F154" t="s">
        <v>44</v>
      </c>
      <c r="G154" t="s">
        <v>21</v>
      </c>
      <c r="H154" t="s">
        <v>22</v>
      </c>
      <c r="I154" s="12">
        <v>0.95</v>
      </c>
      <c r="J154" s="12">
        <v>0.39</v>
      </c>
      <c r="K154" s="16">
        <v>23.75</v>
      </c>
      <c r="L154" s="16">
        <v>11</v>
      </c>
      <c r="M154" s="16">
        <v>0.5</v>
      </c>
      <c r="N154" s="16">
        <v>5</v>
      </c>
      <c r="O154" s="16">
        <v>40.25</v>
      </c>
      <c r="P154" t="s">
        <v>34</v>
      </c>
      <c r="Q154" t="s">
        <v>24</v>
      </c>
    </row>
    <row r="155" spans="1:17">
      <c r="A155" t="s">
        <v>197</v>
      </c>
      <c r="B155" s="14">
        <v>46220</v>
      </c>
      <c r="C155">
        <v>29</v>
      </c>
      <c r="D155" t="s">
        <v>36</v>
      </c>
      <c r="E155" t="s">
        <v>27</v>
      </c>
      <c r="F155" t="s">
        <v>33</v>
      </c>
      <c r="G155" t="s">
        <v>29</v>
      </c>
      <c r="H155" t="s">
        <v>22</v>
      </c>
      <c r="I155" s="12">
        <v>1.36</v>
      </c>
      <c r="J155" s="12">
        <v>1.03</v>
      </c>
      <c r="K155" s="16">
        <v>34</v>
      </c>
      <c r="L155" s="16">
        <v>11</v>
      </c>
      <c r="M155" s="16">
        <v>0.5</v>
      </c>
      <c r="N155" s="16">
        <v>5</v>
      </c>
      <c r="O155" s="16">
        <v>50.5</v>
      </c>
      <c r="P155" t="s">
        <v>23</v>
      </c>
      <c r="Q155" t="s">
        <v>24</v>
      </c>
    </row>
    <row r="156" spans="1:17">
      <c r="A156" t="s">
        <v>198</v>
      </c>
      <c r="B156" s="14">
        <v>46216</v>
      </c>
      <c r="C156">
        <v>29</v>
      </c>
      <c r="D156" t="s">
        <v>40</v>
      </c>
      <c r="E156" t="s">
        <v>19</v>
      </c>
      <c r="F156" t="s">
        <v>44</v>
      </c>
      <c r="G156" t="s">
        <v>21</v>
      </c>
      <c r="H156" t="s">
        <v>64</v>
      </c>
      <c r="I156" s="12">
        <v>4.27</v>
      </c>
      <c r="J156" s="12">
        <v>0</v>
      </c>
      <c r="K156" s="16">
        <v>106.75</v>
      </c>
      <c r="L156" s="16">
        <v>11</v>
      </c>
      <c r="M156" s="16">
        <v>0.5</v>
      </c>
      <c r="N156" s="16">
        <v>5</v>
      </c>
      <c r="O156" s="16">
        <v>123.25</v>
      </c>
      <c r="P156" t="s">
        <v>23</v>
      </c>
      <c r="Q156" t="s">
        <v>24</v>
      </c>
    </row>
    <row r="157" spans="1:17">
      <c r="A157" t="s">
        <v>199</v>
      </c>
      <c r="B157" s="14">
        <v>46225</v>
      </c>
      <c r="C157">
        <v>30</v>
      </c>
      <c r="D157" t="s">
        <v>43</v>
      </c>
      <c r="E157" t="s">
        <v>27</v>
      </c>
      <c r="F157" t="s">
        <v>44</v>
      </c>
      <c r="G157" t="s">
        <v>50</v>
      </c>
      <c r="H157" t="s">
        <v>41</v>
      </c>
      <c r="I157" s="12">
        <v>4.3</v>
      </c>
      <c r="J157" s="12">
        <v>0.57</v>
      </c>
      <c r="K157" s="16">
        <v>107.5</v>
      </c>
      <c r="L157" s="16">
        <v>11</v>
      </c>
      <c r="M157" s="16">
        <v>0.5</v>
      </c>
      <c r="N157" s="16">
        <v>5</v>
      </c>
      <c r="O157" s="16">
        <v>124</v>
      </c>
      <c r="P157" t="s">
        <v>34</v>
      </c>
      <c r="Q157" t="s">
        <v>24</v>
      </c>
    </row>
    <row r="158" spans="1:17">
      <c r="A158" t="s">
        <v>200</v>
      </c>
      <c r="B158" s="14">
        <v>46223</v>
      </c>
      <c r="C158">
        <v>30</v>
      </c>
      <c r="D158" t="s">
        <v>18</v>
      </c>
      <c r="E158" t="s">
        <v>19</v>
      </c>
      <c r="F158" t="s">
        <v>28</v>
      </c>
      <c r="G158" t="s">
        <v>21</v>
      </c>
      <c r="H158" t="s">
        <v>22</v>
      </c>
      <c r="I158" s="12">
        <v>0.5</v>
      </c>
      <c r="J158" s="12">
        <v>0.46</v>
      </c>
      <c r="K158" s="16">
        <v>12.5</v>
      </c>
      <c r="L158" s="16">
        <v>11</v>
      </c>
      <c r="M158" s="16">
        <v>0.5</v>
      </c>
      <c r="N158" s="16">
        <v>5</v>
      </c>
      <c r="O158" s="16">
        <v>29</v>
      </c>
      <c r="P158" t="s">
        <v>23</v>
      </c>
      <c r="Q158" t="s">
        <v>24</v>
      </c>
    </row>
    <row r="159" spans="1:17">
      <c r="A159" t="s">
        <v>201</v>
      </c>
      <c r="B159" s="14">
        <v>46217</v>
      </c>
      <c r="C159">
        <v>29</v>
      </c>
      <c r="D159" t="s">
        <v>26</v>
      </c>
      <c r="E159" t="s">
        <v>27</v>
      </c>
      <c r="F159" t="s">
        <v>33</v>
      </c>
      <c r="G159" t="s">
        <v>21</v>
      </c>
      <c r="H159" t="s">
        <v>37</v>
      </c>
      <c r="I159" s="12">
        <v>4.03</v>
      </c>
      <c r="J159" s="12">
        <v>0</v>
      </c>
      <c r="K159" s="16">
        <v>100.75</v>
      </c>
      <c r="L159" s="16">
        <v>11</v>
      </c>
      <c r="M159" s="16">
        <v>0.5</v>
      </c>
      <c r="N159" s="16">
        <v>5</v>
      </c>
      <c r="O159" s="16">
        <v>117.25</v>
      </c>
      <c r="P159" t="s">
        <v>34</v>
      </c>
      <c r="Q159" t="s">
        <v>38</v>
      </c>
    </row>
    <row r="160" spans="1:17">
      <c r="A160" t="s">
        <v>202</v>
      </c>
      <c r="B160" s="14">
        <v>46218</v>
      </c>
      <c r="C160">
        <v>29</v>
      </c>
      <c r="D160" t="s">
        <v>32</v>
      </c>
      <c r="E160" t="s">
        <v>19</v>
      </c>
      <c r="F160" t="s">
        <v>28</v>
      </c>
      <c r="G160" t="s">
        <v>21</v>
      </c>
      <c r="H160" t="s">
        <v>64</v>
      </c>
      <c r="I160" s="12">
        <v>4.52</v>
      </c>
      <c r="J160" s="12">
        <v>0</v>
      </c>
      <c r="K160" s="16">
        <v>113</v>
      </c>
      <c r="L160" s="16">
        <v>11</v>
      </c>
      <c r="M160" s="16">
        <v>0.5</v>
      </c>
      <c r="N160" s="16">
        <v>5</v>
      </c>
      <c r="O160" s="16">
        <v>129.5</v>
      </c>
      <c r="P160" t="s">
        <v>23</v>
      </c>
      <c r="Q160" t="s">
        <v>24</v>
      </c>
    </row>
    <row r="161" spans="1:17">
      <c r="A161" t="s">
        <v>203</v>
      </c>
      <c r="B161" s="14">
        <v>46216</v>
      </c>
      <c r="C161">
        <v>29</v>
      </c>
      <c r="D161" t="s">
        <v>36</v>
      </c>
      <c r="E161" t="s">
        <v>27</v>
      </c>
      <c r="F161" t="s">
        <v>44</v>
      </c>
      <c r="G161" t="s">
        <v>21</v>
      </c>
      <c r="H161" t="s">
        <v>64</v>
      </c>
      <c r="I161" s="12">
        <v>4.2</v>
      </c>
      <c r="J161" s="12">
        <v>0</v>
      </c>
      <c r="K161" s="16">
        <v>105</v>
      </c>
      <c r="L161" s="16">
        <v>11</v>
      </c>
      <c r="M161" s="16">
        <v>0.5</v>
      </c>
      <c r="N161" s="16">
        <v>5</v>
      </c>
      <c r="O161" s="16">
        <v>121.5</v>
      </c>
      <c r="P161" t="s">
        <v>34</v>
      </c>
      <c r="Q161" t="s">
        <v>38</v>
      </c>
    </row>
    <row r="162" spans="1:17">
      <c r="A162" t="s">
        <v>204</v>
      </c>
      <c r="B162" s="14">
        <v>46226</v>
      </c>
      <c r="C162">
        <v>30</v>
      </c>
      <c r="D162" t="s">
        <v>40</v>
      </c>
      <c r="E162" t="s">
        <v>19</v>
      </c>
      <c r="F162" t="s">
        <v>33</v>
      </c>
      <c r="G162" t="s">
        <v>29</v>
      </c>
      <c r="H162" t="s">
        <v>64</v>
      </c>
      <c r="I162" s="12">
        <v>4.99</v>
      </c>
      <c r="J162" s="12">
        <v>0</v>
      </c>
      <c r="K162" s="16">
        <v>124.75</v>
      </c>
      <c r="L162" s="16">
        <v>11</v>
      </c>
      <c r="M162" s="16">
        <v>0.5</v>
      </c>
      <c r="N162" s="16">
        <v>5</v>
      </c>
      <c r="O162" s="16">
        <v>141.25</v>
      </c>
      <c r="P162" t="s">
        <v>34</v>
      </c>
      <c r="Q162" t="s">
        <v>24</v>
      </c>
    </row>
    <row r="163" spans="1:17">
      <c r="A163" t="s">
        <v>205</v>
      </c>
      <c r="B163" s="14">
        <v>46227</v>
      </c>
      <c r="C163">
        <v>30</v>
      </c>
      <c r="D163" t="s">
        <v>43</v>
      </c>
      <c r="E163" t="s">
        <v>27</v>
      </c>
      <c r="F163" t="s">
        <v>33</v>
      </c>
      <c r="G163" t="s">
        <v>50</v>
      </c>
      <c r="H163" t="s">
        <v>64</v>
      </c>
      <c r="I163" s="12">
        <v>5.24</v>
      </c>
      <c r="J163" s="12">
        <v>0</v>
      </c>
      <c r="K163" s="16">
        <v>131</v>
      </c>
      <c r="L163" s="16">
        <v>11</v>
      </c>
      <c r="M163" s="16">
        <v>0.5</v>
      </c>
      <c r="N163" s="16">
        <v>5</v>
      </c>
      <c r="O163" s="16">
        <v>147.5</v>
      </c>
      <c r="P163" t="s">
        <v>34</v>
      </c>
      <c r="Q163" t="s">
        <v>24</v>
      </c>
    </row>
    <row r="164" spans="1:17">
      <c r="A164" t="s">
        <v>206</v>
      </c>
      <c r="B164" s="14">
        <v>46219</v>
      </c>
      <c r="C164">
        <v>29</v>
      </c>
      <c r="D164" t="s">
        <v>18</v>
      </c>
      <c r="E164" t="s">
        <v>19</v>
      </c>
      <c r="F164" t="s">
        <v>33</v>
      </c>
      <c r="G164" t="s">
        <v>21</v>
      </c>
      <c r="H164" t="s">
        <v>41</v>
      </c>
      <c r="I164" s="12">
        <v>5.27</v>
      </c>
      <c r="J164" s="12">
        <v>0.47</v>
      </c>
      <c r="K164" s="16">
        <v>131.75</v>
      </c>
      <c r="L164" s="16">
        <v>11</v>
      </c>
      <c r="M164" s="16">
        <v>0.5</v>
      </c>
      <c r="N164" s="16">
        <v>5</v>
      </c>
      <c r="O164" s="16">
        <v>148.25</v>
      </c>
      <c r="P164" t="s">
        <v>34</v>
      </c>
      <c r="Q164" t="s">
        <v>38</v>
      </c>
    </row>
    <row r="165" spans="1:17">
      <c r="A165" t="s">
        <v>207</v>
      </c>
      <c r="B165" s="14">
        <v>46230</v>
      </c>
      <c r="C165">
        <v>31</v>
      </c>
      <c r="D165" t="s">
        <v>26</v>
      </c>
      <c r="E165" t="s">
        <v>27</v>
      </c>
      <c r="F165" t="s">
        <v>28</v>
      </c>
      <c r="G165" t="s">
        <v>21</v>
      </c>
      <c r="H165" t="s">
        <v>22</v>
      </c>
      <c r="I165" s="12">
        <v>1.3</v>
      </c>
      <c r="J165" s="12">
        <v>0.32</v>
      </c>
      <c r="K165" s="16">
        <v>32.5</v>
      </c>
      <c r="L165" s="16">
        <v>11</v>
      </c>
      <c r="M165" s="16">
        <v>0.5</v>
      </c>
      <c r="N165" s="16">
        <v>5</v>
      </c>
      <c r="O165" s="16">
        <v>49</v>
      </c>
      <c r="P165" t="s">
        <v>23</v>
      </c>
      <c r="Q165" t="s">
        <v>24</v>
      </c>
    </row>
    <row r="166" spans="1:17">
      <c r="A166" t="s">
        <v>208</v>
      </c>
      <c r="B166" s="14">
        <v>46223</v>
      </c>
      <c r="C166">
        <v>30</v>
      </c>
      <c r="D166" t="s">
        <v>32</v>
      </c>
      <c r="E166" t="s">
        <v>19</v>
      </c>
      <c r="F166" t="s">
        <v>20</v>
      </c>
      <c r="G166" t="s">
        <v>21</v>
      </c>
      <c r="H166" t="s">
        <v>41</v>
      </c>
      <c r="I166" s="12">
        <v>4.8</v>
      </c>
      <c r="J166" s="12">
        <v>1.1</v>
      </c>
      <c r="K166" s="16">
        <v>120</v>
      </c>
      <c r="L166" s="16">
        <v>11</v>
      </c>
      <c r="M166" s="16">
        <v>0.5</v>
      </c>
      <c r="N166" s="16">
        <v>5</v>
      </c>
      <c r="O166" s="16">
        <v>136.5</v>
      </c>
      <c r="P166" t="s">
        <v>23</v>
      </c>
      <c r="Q166" t="s">
        <v>24</v>
      </c>
    </row>
    <row r="167" spans="1:17">
      <c r="A167" t="s">
        <v>209</v>
      </c>
      <c r="B167" s="14">
        <v>46226</v>
      </c>
      <c r="C167">
        <v>30</v>
      </c>
      <c r="D167" t="s">
        <v>36</v>
      </c>
      <c r="E167" t="s">
        <v>27</v>
      </c>
      <c r="F167" t="s">
        <v>28</v>
      </c>
      <c r="G167" t="s">
        <v>29</v>
      </c>
      <c r="H167" t="s">
        <v>37</v>
      </c>
      <c r="I167" s="12">
        <v>4.38</v>
      </c>
      <c r="J167" s="12">
        <v>0.56</v>
      </c>
      <c r="K167" s="16">
        <v>109.5</v>
      </c>
      <c r="L167" s="16">
        <v>11</v>
      </c>
      <c r="M167" s="16">
        <v>0.5</v>
      </c>
      <c r="N167" s="16">
        <v>5</v>
      </c>
      <c r="O167" s="16">
        <v>126</v>
      </c>
      <c r="P167" t="s">
        <v>23</v>
      </c>
      <c r="Q167" t="s">
        <v>24</v>
      </c>
    </row>
    <row r="168" spans="1:17">
      <c r="A168" t="s">
        <v>210</v>
      </c>
      <c r="B168" s="14">
        <v>46223</v>
      </c>
      <c r="C168">
        <v>30</v>
      </c>
      <c r="D168" t="s">
        <v>40</v>
      </c>
      <c r="E168" t="s">
        <v>19</v>
      </c>
      <c r="F168" t="s">
        <v>33</v>
      </c>
      <c r="G168" t="s">
        <v>50</v>
      </c>
      <c r="H168" t="s">
        <v>22</v>
      </c>
      <c r="I168" s="12">
        <v>0.5</v>
      </c>
      <c r="J168" s="12">
        <v>0</v>
      </c>
      <c r="K168" s="16">
        <v>12.5</v>
      </c>
      <c r="L168" s="16">
        <v>11</v>
      </c>
      <c r="M168" s="16">
        <v>0.5</v>
      </c>
      <c r="N168" s="16">
        <v>5</v>
      </c>
      <c r="O168" s="16">
        <v>29</v>
      </c>
      <c r="P168" t="s">
        <v>23</v>
      </c>
      <c r="Q168" t="s">
        <v>24</v>
      </c>
    </row>
    <row r="169" spans="1:17">
      <c r="A169" t="s">
        <v>211</v>
      </c>
      <c r="B169" s="14">
        <v>46226</v>
      </c>
      <c r="C169">
        <v>30</v>
      </c>
      <c r="D169" t="s">
        <v>43</v>
      </c>
      <c r="E169" t="s">
        <v>27</v>
      </c>
      <c r="F169" t="s">
        <v>33</v>
      </c>
      <c r="G169" t="s">
        <v>21</v>
      </c>
      <c r="H169" t="s">
        <v>30</v>
      </c>
      <c r="I169" s="12">
        <v>4.2</v>
      </c>
      <c r="J169" s="12">
        <v>0</v>
      </c>
      <c r="K169" s="16">
        <v>105</v>
      </c>
      <c r="L169" s="16">
        <v>11</v>
      </c>
      <c r="M169" s="16">
        <v>0.5</v>
      </c>
      <c r="N169" s="16">
        <v>5</v>
      </c>
      <c r="O169" s="16">
        <v>121.5</v>
      </c>
      <c r="P169" t="s">
        <v>34</v>
      </c>
      <c r="Q169" t="s">
        <v>24</v>
      </c>
    </row>
    <row r="170" spans="1:17">
      <c r="A170" t="s">
        <v>212</v>
      </c>
      <c r="B170" s="14">
        <v>46224</v>
      </c>
      <c r="C170">
        <v>30</v>
      </c>
      <c r="D170" t="s">
        <v>18</v>
      </c>
      <c r="E170" t="s">
        <v>19</v>
      </c>
      <c r="F170" t="s">
        <v>33</v>
      </c>
      <c r="G170" t="s">
        <v>50</v>
      </c>
      <c r="H170" t="s">
        <v>41</v>
      </c>
      <c r="I170" s="12">
        <v>4.61</v>
      </c>
      <c r="J170" s="12">
        <v>0</v>
      </c>
      <c r="K170" s="16">
        <v>115.25</v>
      </c>
      <c r="L170" s="16">
        <v>11</v>
      </c>
      <c r="M170" s="16">
        <v>0.5</v>
      </c>
      <c r="N170" s="16">
        <v>5</v>
      </c>
      <c r="O170" s="16">
        <v>131.75</v>
      </c>
      <c r="P170" t="s">
        <v>34</v>
      </c>
      <c r="Q170" t="s">
        <v>24</v>
      </c>
    </row>
    <row r="171" spans="1:17">
      <c r="A171" t="s">
        <v>213</v>
      </c>
      <c r="B171" s="14">
        <v>46220</v>
      </c>
      <c r="C171">
        <v>29</v>
      </c>
      <c r="D171" t="s">
        <v>26</v>
      </c>
      <c r="E171" t="s">
        <v>27</v>
      </c>
      <c r="F171" t="s">
        <v>28</v>
      </c>
      <c r="G171" t="s">
        <v>29</v>
      </c>
      <c r="H171" t="s">
        <v>30</v>
      </c>
      <c r="I171" s="12">
        <v>2.61</v>
      </c>
      <c r="J171" s="12">
        <v>0.95</v>
      </c>
      <c r="K171" s="16">
        <v>65.25</v>
      </c>
      <c r="L171" s="16">
        <v>11</v>
      </c>
      <c r="M171" s="16">
        <v>0.5</v>
      </c>
      <c r="N171" s="16">
        <v>5</v>
      </c>
      <c r="O171" s="16">
        <v>81.75</v>
      </c>
      <c r="P171" t="s">
        <v>23</v>
      </c>
      <c r="Q171" t="s">
        <v>24</v>
      </c>
    </row>
    <row r="172" spans="1:17">
      <c r="A172" t="s">
        <v>214</v>
      </c>
      <c r="B172" s="14">
        <v>46218</v>
      </c>
      <c r="C172">
        <v>29</v>
      </c>
      <c r="D172" t="s">
        <v>32</v>
      </c>
      <c r="E172" t="s">
        <v>19</v>
      </c>
      <c r="F172" t="s">
        <v>33</v>
      </c>
      <c r="G172" t="s">
        <v>21</v>
      </c>
      <c r="H172" t="s">
        <v>37</v>
      </c>
      <c r="I172" s="12">
        <v>3.73</v>
      </c>
      <c r="J172" s="12">
        <v>0.39</v>
      </c>
      <c r="K172" s="16">
        <v>93.25</v>
      </c>
      <c r="L172" s="16">
        <v>11</v>
      </c>
      <c r="M172" s="16">
        <v>0.5</v>
      </c>
      <c r="N172" s="16">
        <v>5</v>
      </c>
      <c r="O172" s="16">
        <v>109.75</v>
      </c>
      <c r="P172" t="s">
        <v>23</v>
      </c>
      <c r="Q172" t="s">
        <v>24</v>
      </c>
    </row>
    <row r="173" spans="1:17">
      <c r="A173" t="s">
        <v>215</v>
      </c>
      <c r="B173" s="14">
        <v>46226</v>
      </c>
      <c r="C173">
        <v>30</v>
      </c>
      <c r="D173" t="s">
        <v>36</v>
      </c>
      <c r="E173" t="s">
        <v>27</v>
      </c>
      <c r="F173" t="s">
        <v>33</v>
      </c>
      <c r="G173" t="s">
        <v>29</v>
      </c>
      <c r="H173" t="s">
        <v>22</v>
      </c>
      <c r="I173" s="12">
        <v>0.7</v>
      </c>
      <c r="J173" s="12">
        <v>1.19</v>
      </c>
      <c r="K173" s="16">
        <v>17.5</v>
      </c>
      <c r="L173" s="16">
        <v>11</v>
      </c>
      <c r="M173" s="16">
        <v>0.5</v>
      </c>
      <c r="N173" s="16">
        <v>5</v>
      </c>
      <c r="O173" s="16">
        <v>34</v>
      </c>
      <c r="P173" t="s">
        <v>34</v>
      </c>
      <c r="Q173" t="s">
        <v>24</v>
      </c>
    </row>
    <row r="174" spans="1:17">
      <c r="A174" t="s">
        <v>216</v>
      </c>
      <c r="B174" s="14">
        <v>46220</v>
      </c>
      <c r="C174">
        <v>29</v>
      </c>
      <c r="D174" t="s">
        <v>40</v>
      </c>
      <c r="E174" t="s">
        <v>19</v>
      </c>
      <c r="F174" t="s">
        <v>28</v>
      </c>
      <c r="G174" t="s">
        <v>50</v>
      </c>
      <c r="H174" t="s">
        <v>22</v>
      </c>
      <c r="I174" s="12">
        <v>0.74</v>
      </c>
      <c r="J174" s="12">
        <v>0.87</v>
      </c>
      <c r="K174" s="16">
        <v>18.5</v>
      </c>
      <c r="L174" s="16">
        <v>11</v>
      </c>
      <c r="M174" s="16">
        <v>0.5</v>
      </c>
      <c r="N174" s="16">
        <v>5</v>
      </c>
      <c r="O174" s="16">
        <v>35</v>
      </c>
      <c r="P174" t="s">
        <v>23</v>
      </c>
      <c r="Q174" t="s">
        <v>24</v>
      </c>
    </row>
    <row r="175" spans="1:17">
      <c r="A175" t="s">
        <v>217</v>
      </c>
      <c r="B175" s="14">
        <v>46223</v>
      </c>
      <c r="C175">
        <v>30</v>
      </c>
      <c r="D175" t="s">
        <v>43</v>
      </c>
      <c r="E175" t="s">
        <v>27</v>
      </c>
      <c r="F175" t="s">
        <v>44</v>
      </c>
      <c r="G175" t="s">
        <v>21</v>
      </c>
      <c r="H175" t="s">
        <v>37</v>
      </c>
      <c r="I175" s="12">
        <v>3.29</v>
      </c>
      <c r="J175" s="12">
        <v>0</v>
      </c>
      <c r="K175" s="16">
        <v>82.25</v>
      </c>
      <c r="L175" s="16">
        <v>11</v>
      </c>
      <c r="M175" s="16">
        <v>0.5</v>
      </c>
      <c r="N175" s="16">
        <v>5</v>
      </c>
      <c r="O175" s="16">
        <v>98.75</v>
      </c>
      <c r="P175" t="s">
        <v>34</v>
      </c>
      <c r="Q175" t="s">
        <v>24</v>
      </c>
    </row>
    <row r="176" spans="1:17">
      <c r="A176" t="s">
        <v>218</v>
      </c>
      <c r="B176" s="14">
        <v>46216</v>
      </c>
      <c r="C176">
        <v>29</v>
      </c>
      <c r="D176" t="s">
        <v>18</v>
      </c>
      <c r="E176" t="s">
        <v>19</v>
      </c>
      <c r="F176" t="s">
        <v>28</v>
      </c>
      <c r="G176" t="s">
        <v>21</v>
      </c>
      <c r="H176" t="s">
        <v>22</v>
      </c>
      <c r="I176" s="12">
        <v>0.5</v>
      </c>
      <c r="J176" s="12">
        <v>0.89</v>
      </c>
      <c r="K176" s="16">
        <v>12.5</v>
      </c>
      <c r="L176" s="16">
        <v>11</v>
      </c>
      <c r="M176" s="16">
        <v>0.5</v>
      </c>
      <c r="N176" s="16">
        <v>5</v>
      </c>
      <c r="O176" s="16">
        <v>29</v>
      </c>
      <c r="P176" t="s">
        <v>23</v>
      </c>
      <c r="Q176" t="s">
        <v>24</v>
      </c>
    </row>
    <row r="177" spans="1:17">
      <c r="A177" t="s">
        <v>219</v>
      </c>
      <c r="B177" s="14">
        <v>46220</v>
      </c>
      <c r="C177">
        <v>29</v>
      </c>
      <c r="D177" t="s">
        <v>26</v>
      </c>
      <c r="E177" t="s">
        <v>27</v>
      </c>
      <c r="F177" t="s">
        <v>28</v>
      </c>
      <c r="G177" t="s">
        <v>50</v>
      </c>
      <c r="H177" t="s">
        <v>30</v>
      </c>
      <c r="I177" s="12">
        <v>2.11</v>
      </c>
      <c r="J177" s="12">
        <v>1.19</v>
      </c>
      <c r="K177" s="16">
        <v>52.75</v>
      </c>
      <c r="L177" s="16">
        <v>11</v>
      </c>
      <c r="M177" s="16">
        <v>0.5</v>
      </c>
      <c r="N177" s="16">
        <v>5</v>
      </c>
      <c r="O177" s="16">
        <v>69.25</v>
      </c>
      <c r="P177" t="s">
        <v>23</v>
      </c>
      <c r="Q177" t="s">
        <v>24</v>
      </c>
    </row>
    <row r="178" spans="1:17">
      <c r="A178" t="s">
        <v>220</v>
      </c>
      <c r="B178" s="14">
        <v>46218</v>
      </c>
      <c r="C178">
        <v>29</v>
      </c>
      <c r="D178" t="s">
        <v>32</v>
      </c>
      <c r="E178" t="s">
        <v>19</v>
      </c>
      <c r="F178" t="s">
        <v>28</v>
      </c>
      <c r="G178" t="s">
        <v>21</v>
      </c>
      <c r="H178" t="s">
        <v>30</v>
      </c>
      <c r="I178" s="12">
        <v>3.13</v>
      </c>
      <c r="J178" s="12">
        <v>0.76</v>
      </c>
      <c r="K178" s="16">
        <v>78.25</v>
      </c>
      <c r="L178" s="16">
        <v>11</v>
      </c>
      <c r="M178" s="16">
        <v>0.5</v>
      </c>
      <c r="N178" s="16">
        <v>5</v>
      </c>
      <c r="O178" s="16">
        <v>94.75</v>
      </c>
      <c r="P178" t="s">
        <v>23</v>
      </c>
      <c r="Q178" t="s">
        <v>24</v>
      </c>
    </row>
    <row r="179" spans="1:17">
      <c r="A179" t="s">
        <v>221</v>
      </c>
      <c r="B179" s="14">
        <v>46225</v>
      </c>
      <c r="C179">
        <v>30</v>
      </c>
      <c r="D179" t="s">
        <v>36</v>
      </c>
      <c r="E179" t="s">
        <v>27</v>
      </c>
      <c r="F179" t="s">
        <v>44</v>
      </c>
      <c r="G179" t="s">
        <v>21</v>
      </c>
      <c r="H179" t="s">
        <v>45</v>
      </c>
      <c r="I179" s="12">
        <v>3.99</v>
      </c>
      <c r="J179" s="12">
        <v>0</v>
      </c>
      <c r="K179" s="16">
        <v>99.75</v>
      </c>
      <c r="L179" s="16">
        <v>11</v>
      </c>
      <c r="M179" s="16">
        <v>0.5</v>
      </c>
      <c r="N179" s="16">
        <v>5</v>
      </c>
      <c r="O179" s="16">
        <v>116.25</v>
      </c>
      <c r="P179" t="s">
        <v>34</v>
      </c>
      <c r="Q179" t="s">
        <v>24</v>
      </c>
    </row>
    <row r="180" spans="1:17">
      <c r="A180" t="s">
        <v>222</v>
      </c>
      <c r="B180" s="14">
        <v>46224</v>
      </c>
      <c r="C180">
        <v>30</v>
      </c>
      <c r="D180" t="s">
        <v>40</v>
      </c>
      <c r="E180" t="s">
        <v>19</v>
      </c>
      <c r="F180" t="s">
        <v>20</v>
      </c>
      <c r="G180" t="s">
        <v>50</v>
      </c>
      <c r="H180" t="s">
        <v>30</v>
      </c>
      <c r="I180" s="12">
        <v>3.47</v>
      </c>
      <c r="J180" s="12">
        <v>0.98</v>
      </c>
      <c r="K180" s="16">
        <v>86.75</v>
      </c>
      <c r="L180" s="16">
        <v>11</v>
      </c>
      <c r="M180" s="16">
        <v>0.5</v>
      </c>
      <c r="N180" s="16">
        <v>5</v>
      </c>
      <c r="O180" s="16">
        <v>103.25</v>
      </c>
      <c r="P180" t="s">
        <v>23</v>
      </c>
      <c r="Q180" t="s">
        <v>24</v>
      </c>
    </row>
    <row r="181" spans="1:17">
      <c r="A181" t="s">
        <v>223</v>
      </c>
      <c r="B181" s="14">
        <v>46226</v>
      </c>
      <c r="C181">
        <v>30</v>
      </c>
      <c r="D181" t="s">
        <v>43</v>
      </c>
      <c r="E181" t="s">
        <v>27</v>
      </c>
      <c r="F181" t="s">
        <v>44</v>
      </c>
      <c r="G181" t="s">
        <v>50</v>
      </c>
      <c r="H181" t="s">
        <v>45</v>
      </c>
      <c r="I181" s="12">
        <v>4.37</v>
      </c>
      <c r="J181" s="12">
        <v>0.74</v>
      </c>
      <c r="K181" s="16">
        <v>109.25</v>
      </c>
      <c r="L181" s="16">
        <v>11</v>
      </c>
      <c r="M181" s="16">
        <v>0.5</v>
      </c>
      <c r="N181" s="16">
        <v>5</v>
      </c>
      <c r="O181" s="16">
        <v>125.75</v>
      </c>
      <c r="P181" t="s">
        <v>34</v>
      </c>
      <c r="Q181" t="s">
        <v>24</v>
      </c>
    </row>
    <row r="182" spans="1:17">
      <c r="A182" t="s">
        <v>224</v>
      </c>
      <c r="B182" s="14">
        <v>46224</v>
      </c>
      <c r="C182">
        <v>30</v>
      </c>
      <c r="D182" t="s">
        <v>18</v>
      </c>
      <c r="E182" t="s">
        <v>19</v>
      </c>
      <c r="F182" t="s">
        <v>44</v>
      </c>
      <c r="G182" t="s">
        <v>21</v>
      </c>
      <c r="H182" t="s">
        <v>30</v>
      </c>
      <c r="I182" s="12">
        <v>2.58</v>
      </c>
      <c r="J182" s="12">
        <v>0</v>
      </c>
      <c r="K182" s="16">
        <v>64.5</v>
      </c>
      <c r="L182" s="16">
        <v>11</v>
      </c>
      <c r="M182" s="16">
        <v>0.5</v>
      </c>
      <c r="N182" s="16">
        <v>5</v>
      </c>
      <c r="O182" s="16">
        <v>81</v>
      </c>
      <c r="P182" t="s">
        <v>34</v>
      </c>
      <c r="Q182" t="s">
        <v>24</v>
      </c>
    </row>
    <row r="183" spans="1:17">
      <c r="A183" t="s">
        <v>225</v>
      </c>
      <c r="B183" s="14">
        <v>46227</v>
      </c>
      <c r="C183">
        <v>30</v>
      </c>
      <c r="D183" t="s">
        <v>26</v>
      </c>
      <c r="E183" t="s">
        <v>27</v>
      </c>
      <c r="F183" t="s">
        <v>20</v>
      </c>
      <c r="G183" t="s">
        <v>21</v>
      </c>
      <c r="H183" t="s">
        <v>22</v>
      </c>
      <c r="I183" s="12">
        <v>0.5</v>
      </c>
      <c r="J183" s="12">
        <v>0.51</v>
      </c>
      <c r="K183" s="16">
        <v>12.5</v>
      </c>
      <c r="L183" s="16">
        <v>11</v>
      </c>
      <c r="M183" s="16">
        <v>0.5</v>
      </c>
      <c r="N183" s="16">
        <v>5</v>
      </c>
      <c r="O183" s="16">
        <v>29</v>
      </c>
      <c r="P183" t="s">
        <v>23</v>
      </c>
      <c r="Q183" t="s">
        <v>24</v>
      </c>
    </row>
    <row r="184" spans="1:17">
      <c r="A184" t="s">
        <v>226</v>
      </c>
      <c r="B184" s="14">
        <v>46219</v>
      </c>
      <c r="C184">
        <v>29</v>
      </c>
      <c r="D184" t="s">
        <v>32</v>
      </c>
      <c r="E184" t="s">
        <v>19</v>
      </c>
      <c r="F184" t="s">
        <v>33</v>
      </c>
      <c r="G184" t="s">
        <v>21</v>
      </c>
      <c r="H184" t="s">
        <v>37</v>
      </c>
      <c r="I184" s="12">
        <v>3.72</v>
      </c>
      <c r="J184" s="12">
        <v>0.69</v>
      </c>
      <c r="K184" s="16">
        <v>93</v>
      </c>
      <c r="L184" s="16">
        <v>11</v>
      </c>
      <c r="M184" s="16">
        <v>0.5</v>
      </c>
      <c r="N184" s="16">
        <v>5</v>
      </c>
      <c r="O184" s="16">
        <v>109.5</v>
      </c>
      <c r="P184" t="s">
        <v>34</v>
      </c>
      <c r="Q184" t="s">
        <v>24</v>
      </c>
    </row>
    <row r="185" spans="1:17">
      <c r="A185" t="s">
        <v>227</v>
      </c>
      <c r="B185" s="14">
        <v>46219</v>
      </c>
      <c r="C185">
        <v>29</v>
      </c>
      <c r="D185" t="s">
        <v>36</v>
      </c>
      <c r="E185" t="s">
        <v>27</v>
      </c>
      <c r="F185" t="s">
        <v>20</v>
      </c>
      <c r="G185" t="s">
        <v>29</v>
      </c>
      <c r="H185" t="s">
        <v>37</v>
      </c>
      <c r="I185" s="12">
        <v>3.18</v>
      </c>
      <c r="J185" s="12">
        <v>0.48</v>
      </c>
      <c r="K185" s="16">
        <v>79.5</v>
      </c>
      <c r="L185" s="16">
        <v>11</v>
      </c>
      <c r="M185" s="16">
        <v>0.5</v>
      </c>
      <c r="N185" s="16">
        <v>5</v>
      </c>
      <c r="O185" s="16">
        <v>96</v>
      </c>
      <c r="P185" t="s">
        <v>23</v>
      </c>
      <c r="Q185" t="s">
        <v>38</v>
      </c>
    </row>
    <row r="186" spans="1:17">
      <c r="A186" t="s">
        <v>228</v>
      </c>
      <c r="B186" s="14">
        <v>46225</v>
      </c>
      <c r="C186">
        <v>30</v>
      </c>
      <c r="D186" t="s">
        <v>40</v>
      </c>
      <c r="E186" t="s">
        <v>19</v>
      </c>
      <c r="F186" t="s">
        <v>28</v>
      </c>
      <c r="G186" t="s">
        <v>21</v>
      </c>
      <c r="H186" t="s">
        <v>45</v>
      </c>
      <c r="I186" s="12">
        <v>3.39</v>
      </c>
      <c r="J186" s="12">
        <v>1.02</v>
      </c>
      <c r="K186" s="16">
        <v>84.75</v>
      </c>
      <c r="L186" s="16">
        <v>11</v>
      </c>
      <c r="M186" s="16">
        <v>0.5</v>
      </c>
      <c r="N186" s="16">
        <v>5</v>
      </c>
      <c r="O186" s="16">
        <v>101.25</v>
      </c>
      <c r="P186" t="s">
        <v>23</v>
      </c>
      <c r="Q186" t="s">
        <v>38</v>
      </c>
    </row>
    <row r="187" spans="1:17">
      <c r="A187" t="s">
        <v>229</v>
      </c>
      <c r="B187" s="14">
        <v>46218</v>
      </c>
      <c r="C187">
        <v>29</v>
      </c>
      <c r="D187" t="s">
        <v>43</v>
      </c>
      <c r="E187" t="s">
        <v>27</v>
      </c>
      <c r="F187" t="s">
        <v>33</v>
      </c>
      <c r="G187" t="s">
        <v>50</v>
      </c>
      <c r="H187" t="s">
        <v>37</v>
      </c>
      <c r="I187" s="12">
        <v>3.25</v>
      </c>
      <c r="J187" s="12">
        <v>1.06</v>
      </c>
      <c r="K187" s="16">
        <v>81.25</v>
      </c>
      <c r="L187" s="16">
        <v>11</v>
      </c>
      <c r="M187" s="16">
        <v>0.5</v>
      </c>
      <c r="N187" s="16">
        <v>5</v>
      </c>
      <c r="O187" s="16">
        <v>97.75</v>
      </c>
      <c r="P187" t="s">
        <v>23</v>
      </c>
      <c r="Q187" t="s">
        <v>38</v>
      </c>
    </row>
    <row r="188" spans="1:17">
      <c r="A188" t="s">
        <v>230</v>
      </c>
      <c r="B188" s="14">
        <v>46226</v>
      </c>
      <c r="C188">
        <v>30</v>
      </c>
      <c r="D188" t="s">
        <v>18</v>
      </c>
      <c r="E188" t="s">
        <v>19</v>
      </c>
      <c r="F188" t="s">
        <v>33</v>
      </c>
      <c r="G188" t="s">
        <v>21</v>
      </c>
      <c r="H188" t="s">
        <v>22</v>
      </c>
      <c r="I188" s="12">
        <v>1.01</v>
      </c>
      <c r="J188" s="12">
        <v>0</v>
      </c>
      <c r="K188" s="16">
        <v>25.25</v>
      </c>
      <c r="L188" s="16">
        <v>11</v>
      </c>
      <c r="M188" s="16">
        <v>0.5</v>
      </c>
      <c r="N188" s="16">
        <v>5</v>
      </c>
      <c r="O188" s="16">
        <v>41.75</v>
      </c>
      <c r="P188" t="s">
        <v>34</v>
      </c>
      <c r="Q188" t="s">
        <v>24</v>
      </c>
    </row>
    <row r="189" spans="1:17">
      <c r="A189" t="s">
        <v>231</v>
      </c>
      <c r="B189" s="14">
        <v>46219</v>
      </c>
      <c r="C189">
        <v>29</v>
      </c>
      <c r="D189" t="s">
        <v>26</v>
      </c>
      <c r="E189" t="s">
        <v>27</v>
      </c>
      <c r="F189" t="s">
        <v>20</v>
      </c>
      <c r="G189" t="s">
        <v>21</v>
      </c>
      <c r="H189" t="s">
        <v>45</v>
      </c>
      <c r="I189" s="12">
        <v>4.63</v>
      </c>
      <c r="J189" s="12">
        <v>0.45</v>
      </c>
      <c r="K189" s="16">
        <v>115.75</v>
      </c>
      <c r="L189" s="16">
        <v>11</v>
      </c>
      <c r="M189" s="16">
        <v>0.5</v>
      </c>
      <c r="N189" s="16">
        <v>5</v>
      </c>
      <c r="O189" s="16">
        <v>132.25</v>
      </c>
      <c r="P189" t="s">
        <v>23</v>
      </c>
      <c r="Q189" t="s">
        <v>24</v>
      </c>
    </row>
    <row r="190" spans="1:17">
      <c r="A190" t="s">
        <v>232</v>
      </c>
      <c r="B190" s="14">
        <v>46216</v>
      </c>
      <c r="C190">
        <v>29</v>
      </c>
      <c r="D190" t="s">
        <v>32</v>
      </c>
      <c r="E190" t="s">
        <v>19</v>
      </c>
      <c r="F190" t="s">
        <v>28</v>
      </c>
      <c r="G190" t="s">
        <v>29</v>
      </c>
      <c r="H190" t="s">
        <v>30</v>
      </c>
      <c r="I190" s="12">
        <v>2.59</v>
      </c>
      <c r="J190" s="12">
        <v>0.69</v>
      </c>
      <c r="K190" s="16">
        <v>64.75</v>
      </c>
      <c r="L190" s="16">
        <v>11</v>
      </c>
      <c r="M190" s="16">
        <v>0.5</v>
      </c>
      <c r="N190" s="16">
        <v>5</v>
      </c>
      <c r="O190" s="16">
        <v>81.25</v>
      </c>
      <c r="P190" t="s">
        <v>23</v>
      </c>
      <c r="Q190" t="s">
        <v>24</v>
      </c>
    </row>
    <row r="191" spans="1:17">
      <c r="A191" t="s">
        <v>233</v>
      </c>
      <c r="B191" s="14">
        <v>46220</v>
      </c>
      <c r="C191">
        <v>29</v>
      </c>
      <c r="D191" t="s">
        <v>36</v>
      </c>
      <c r="E191" t="s">
        <v>27</v>
      </c>
      <c r="F191" t="s">
        <v>28</v>
      </c>
      <c r="G191" t="s">
        <v>29</v>
      </c>
      <c r="H191" t="s">
        <v>22</v>
      </c>
      <c r="I191" s="12">
        <v>1.2</v>
      </c>
      <c r="J191" s="12">
        <v>0.85</v>
      </c>
      <c r="K191" s="16">
        <v>30</v>
      </c>
      <c r="L191" s="16">
        <v>11</v>
      </c>
      <c r="M191" s="16">
        <v>0.5</v>
      </c>
      <c r="N191" s="16">
        <v>5</v>
      </c>
      <c r="O191" s="16">
        <v>46.5</v>
      </c>
      <c r="P191" t="s">
        <v>23</v>
      </c>
      <c r="Q191" t="s">
        <v>38</v>
      </c>
    </row>
    <row r="192" spans="1:17">
      <c r="A192" t="s">
        <v>234</v>
      </c>
      <c r="B192" s="14">
        <v>46223</v>
      </c>
      <c r="C192">
        <v>30</v>
      </c>
      <c r="D192" t="s">
        <v>40</v>
      </c>
      <c r="E192" t="s">
        <v>19</v>
      </c>
      <c r="F192" t="s">
        <v>33</v>
      </c>
      <c r="G192" t="s">
        <v>21</v>
      </c>
      <c r="H192" t="s">
        <v>64</v>
      </c>
      <c r="I192" s="12">
        <v>5.22</v>
      </c>
      <c r="J192" s="12">
        <v>0.69</v>
      </c>
      <c r="K192" s="16">
        <v>130.5</v>
      </c>
      <c r="L192" s="16">
        <v>11</v>
      </c>
      <c r="M192" s="16">
        <v>0.5</v>
      </c>
      <c r="N192" s="16">
        <v>5</v>
      </c>
      <c r="O192" s="16">
        <v>147</v>
      </c>
      <c r="P192" t="s">
        <v>34</v>
      </c>
      <c r="Q192" t="s">
        <v>24</v>
      </c>
    </row>
    <row r="193" spans="1:17">
      <c r="A193" t="s">
        <v>235</v>
      </c>
      <c r="B193" s="14">
        <v>46227</v>
      </c>
      <c r="C193">
        <v>30</v>
      </c>
      <c r="D193" t="s">
        <v>43</v>
      </c>
      <c r="E193" t="s">
        <v>27</v>
      </c>
      <c r="F193" t="s">
        <v>28</v>
      </c>
      <c r="G193" t="s">
        <v>29</v>
      </c>
      <c r="H193" t="s">
        <v>22</v>
      </c>
      <c r="I193" s="12">
        <v>1.1</v>
      </c>
      <c r="J193" s="12">
        <v>0</v>
      </c>
      <c r="K193" s="16">
        <v>27.5</v>
      </c>
      <c r="L193" s="16">
        <v>11</v>
      </c>
      <c r="M193" s="16">
        <v>0.5</v>
      </c>
      <c r="N193" s="16">
        <v>5</v>
      </c>
      <c r="O193" s="16">
        <v>44</v>
      </c>
      <c r="P193" t="s">
        <v>23</v>
      </c>
      <c r="Q193" t="s">
        <v>24</v>
      </c>
    </row>
    <row r="194" spans="1:17">
      <c r="A194" t="s">
        <v>236</v>
      </c>
      <c r="B194" s="14">
        <v>46226</v>
      </c>
      <c r="C194">
        <v>30</v>
      </c>
      <c r="D194" t="s">
        <v>18</v>
      </c>
      <c r="E194" t="s">
        <v>19</v>
      </c>
      <c r="F194" t="s">
        <v>28</v>
      </c>
      <c r="G194" t="s">
        <v>21</v>
      </c>
      <c r="H194" t="s">
        <v>37</v>
      </c>
      <c r="I194" s="12">
        <v>4.69</v>
      </c>
      <c r="J194" s="12">
        <v>0</v>
      </c>
      <c r="K194" s="16">
        <v>117.25</v>
      </c>
      <c r="L194" s="16">
        <v>11</v>
      </c>
      <c r="M194" s="16">
        <v>0.5</v>
      </c>
      <c r="N194" s="16">
        <v>5</v>
      </c>
      <c r="O194" s="16">
        <v>133.75</v>
      </c>
      <c r="P194" t="s">
        <v>23</v>
      </c>
      <c r="Q194" t="s">
        <v>24</v>
      </c>
    </row>
    <row r="195" spans="1:17">
      <c r="A195" t="s">
        <v>237</v>
      </c>
      <c r="B195" s="14">
        <v>46223</v>
      </c>
      <c r="C195">
        <v>30</v>
      </c>
      <c r="D195" t="s">
        <v>26</v>
      </c>
      <c r="E195" t="s">
        <v>27</v>
      </c>
      <c r="F195" t="s">
        <v>28</v>
      </c>
      <c r="G195" t="s">
        <v>21</v>
      </c>
      <c r="H195" t="s">
        <v>45</v>
      </c>
      <c r="I195" s="12">
        <v>4.01</v>
      </c>
      <c r="J195" s="12">
        <v>1.3</v>
      </c>
      <c r="K195" s="16">
        <v>100.25</v>
      </c>
      <c r="L195" s="16">
        <v>11</v>
      </c>
      <c r="M195" s="16">
        <v>0.5</v>
      </c>
      <c r="N195" s="16">
        <v>5</v>
      </c>
      <c r="O195" s="16">
        <v>116.75</v>
      </c>
      <c r="P195" t="s">
        <v>23</v>
      </c>
      <c r="Q195" t="s">
        <v>24</v>
      </c>
    </row>
    <row r="196" spans="1:17">
      <c r="A196" t="s">
        <v>238</v>
      </c>
      <c r="B196" s="14">
        <v>46224</v>
      </c>
      <c r="C196">
        <v>30</v>
      </c>
      <c r="D196" t="s">
        <v>32</v>
      </c>
      <c r="E196" t="s">
        <v>19</v>
      </c>
      <c r="F196" t="s">
        <v>20</v>
      </c>
      <c r="G196" t="s">
        <v>29</v>
      </c>
      <c r="H196" t="s">
        <v>22</v>
      </c>
      <c r="I196" s="12">
        <v>0.73</v>
      </c>
      <c r="J196" s="12">
        <v>0</v>
      </c>
      <c r="K196" s="16">
        <v>18.25</v>
      </c>
      <c r="L196" s="16">
        <v>11</v>
      </c>
      <c r="M196" s="16">
        <v>0.5</v>
      </c>
      <c r="N196" s="16">
        <v>5</v>
      </c>
      <c r="O196" s="16">
        <v>34.75</v>
      </c>
      <c r="P196" t="s">
        <v>23</v>
      </c>
      <c r="Q196" t="s">
        <v>24</v>
      </c>
    </row>
    <row r="197" spans="1:17">
      <c r="A197" t="s">
        <v>239</v>
      </c>
      <c r="B197" s="14">
        <v>46216</v>
      </c>
      <c r="C197">
        <v>29</v>
      </c>
      <c r="D197" t="s">
        <v>36</v>
      </c>
      <c r="E197" t="s">
        <v>27</v>
      </c>
      <c r="F197" t="s">
        <v>33</v>
      </c>
      <c r="G197" t="s">
        <v>29</v>
      </c>
      <c r="H197" t="s">
        <v>30</v>
      </c>
      <c r="I197" s="12">
        <v>3.32</v>
      </c>
      <c r="J197" s="12">
        <v>0</v>
      </c>
      <c r="K197" s="16">
        <v>83</v>
      </c>
      <c r="L197" s="16">
        <v>11</v>
      </c>
      <c r="M197" s="16">
        <v>0.5</v>
      </c>
      <c r="N197" s="16">
        <v>5</v>
      </c>
      <c r="O197" s="16">
        <v>99.5</v>
      </c>
      <c r="P197" t="s">
        <v>23</v>
      </c>
      <c r="Q197" t="s">
        <v>24</v>
      </c>
    </row>
    <row r="198" spans="1:17">
      <c r="A198" t="s">
        <v>240</v>
      </c>
      <c r="B198" s="14">
        <v>46224</v>
      </c>
      <c r="C198">
        <v>30</v>
      </c>
      <c r="D198" t="s">
        <v>40</v>
      </c>
      <c r="E198" t="s">
        <v>19</v>
      </c>
      <c r="F198" t="s">
        <v>44</v>
      </c>
      <c r="G198" t="s">
        <v>21</v>
      </c>
      <c r="H198" t="s">
        <v>41</v>
      </c>
      <c r="I198" s="12">
        <v>4.98</v>
      </c>
      <c r="J198" s="12">
        <v>0.47</v>
      </c>
      <c r="K198" s="16">
        <v>124.5</v>
      </c>
      <c r="L198" s="16">
        <v>11</v>
      </c>
      <c r="M198" s="16">
        <v>0.5</v>
      </c>
      <c r="N198" s="16">
        <v>5</v>
      </c>
      <c r="O198" s="16">
        <v>141</v>
      </c>
      <c r="P198" t="s">
        <v>34</v>
      </c>
      <c r="Q198" t="s">
        <v>24</v>
      </c>
    </row>
    <row r="199" spans="1:17">
      <c r="A199" t="s">
        <v>241</v>
      </c>
      <c r="B199" s="14">
        <v>46230</v>
      </c>
      <c r="C199">
        <v>31</v>
      </c>
      <c r="D199" t="s">
        <v>43</v>
      </c>
      <c r="E199" t="s">
        <v>27</v>
      </c>
      <c r="F199" t="s">
        <v>28</v>
      </c>
      <c r="G199" t="s">
        <v>21</v>
      </c>
      <c r="H199" t="s">
        <v>41</v>
      </c>
      <c r="I199" s="12">
        <v>5.29</v>
      </c>
      <c r="J199" s="12">
        <v>1.33</v>
      </c>
      <c r="K199" s="16">
        <v>132.25</v>
      </c>
      <c r="L199" s="16">
        <v>11</v>
      </c>
      <c r="M199" s="16">
        <v>0.5</v>
      </c>
      <c r="N199" s="16">
        <v>5</v>
      </c>
      <c r="O199" s="16">
        <v>148.75</v>
      </c>
      <c r="P199" t="s">
        <v>23</v>
      </c>
      <c r="Q199" t="s">
        <v>24</v>
      </c>
    </row>
    <row r="200" spans="1:17">
      <c r="A200" t="s">
        <v>242</v>
      </c>
      <c r="B200" s="14">
        <v>46230</v>
      </c>
      <c r="C200">
        <v>31</v>
      </c>
      <c r="D200" t="s">
        <v>18</v>
      </c>
      <c r="E200" t="s">
        <v>19</v>
      </c>
      <c r="F200" t="s">
        <v>28</v>
      </c>
      <c r="G200" t="s">
        <v>29</v>
      </c>
      <c r="H200" t="s">
        <v>30</v>
      </c>
      <c r="I200" s="12">
        <v>3.28</v>
      </c>
      <c r="J200" s="12">
        <v>0</v>
      </c>
      <c r="K200" s="16">
        <v>82</v>
      </c>
      <c r="L200" s="16">
        <v>11</v>
      </c>
      <c r="M200" s="16">
        <v>0.5</v>
      </c>
      <c r="N200" s="16">
        <v>5</v>
      </c>
      <c r="O200" s="16">
        <v>98.5</v>
      </c>
      <c r="P200" t="s">
        <v>23</v>
      </c>
      <c r="Q200" t="s">
        <v>24</v>
      </c>
    </row>
    <row r="201" spans="1:17">
      <c r="A201" t="s">
        <v>243</v>
      </c>
      <c r="B201" s="14">
        <v>46226</v>
      </c>
      <c r="C201">
        <v>30</v>
      </c>
      <c r="D201" t="s">
        <v>26</v>
      </c>
      <c r="E201" t="s">
        <v>27</v>
      </c>
      <c r="F201" t="s">
        <v>44</v>
      </c>
      <c r="G201" t="s">
        <v>29</v>
      </c>
      <c r="H201" t="s">
        <v>30</v>
      </c>
      <c r="I201" s="12">
        <v>2.95</v>
      </c>
      <c r="J201" s="12">
        <v>0.38</v>
      </c>
      <c r="K201" s="16">
        <v>73.75</v>
      </c>
      <c r="L201" s="16">
        <v>11</v>
      </c>
      <c r="M201" s="16">
        <v>0.5</v>
      </c>
      <c r="N201" s="16">
        <v>5</v>
      </c>
      <c r="O201" s="16">
        <v>90.25</v>
      </c>
      <c r="P201" t="s">
        <v>34</v>
      </c>
      <c r="Q201" t="s">
        <v>24</v>
      </c>
    </row>
    <row r="202" spans="1:17">
      <c r="A202" t="s">
        <v>244</v>
      </c>
      <c r="B202" s="14">
        <v>46224</v>
      </c>
      <c r="C202">
        <v>30</v>
      </c>
      <c r="D202" t="s">
        <v>32</v>
      </c>
      <c r="E202" t="s">
        <v>19</v>
      </c>
      <c r="F202" t="s">
        <v>44</v>
      </c>
      <c r="G202" t="s">
        <v>21</v>
      </c>
      <c r="H202" t="s">
        <v>37</v>
      </c>
      <c r="I202" s="12">
        <v>3.53</v>
      </c>
      <c r="J202" s="12">
        <v>0.64</v>
      </c>
      <c r="K202" s="16">
        <v>88.25</v>
      </c>
      <c r="L202" s="16">
        <v>11</v>
      </c>
      <c r="M202" s="16">
        <v>0.5</v>
      </c>
      <c r="N202" s="16">
        <v>5</v>
      </c>
      <c r="O202" s="16">
        <v>104.75</v>
      </c>
      <c r="P202" t="s">
        <v>34</v>
      </c>
      <c r="Q202" t="s">
        <v>38</v>
      </c>
    </row>
    <row r="203" spans="1:17">
      <c r="A203" t="s">
        <v>245</v>
      </c>
      <c r="B203" s="14">
        <v>46224</v>
      </c>
      <c r="C203">
        <v>30</v>
      </c>
      <c r="D203" t="s">
        <v>36</v>
      </c>
      <c r="E203" t="s">
        <v>27</v>
      </c>
      <c r="F203" t="s">
        <v>20</v>
      </c>
      <c r="G203" t="s">
        <v>21</v>
      </c>
      <c r="H203" t="s">
        <v>45</v>
      </c>
      <c r="I203" s="12">
        <v>3.21</v>
      </c>
      <c r="J203" s="12">
        <v>0</v>
      </c>
      <c r="K203" s="16">
        <v>80.25</v>
      </c>
      <c r="L203" s="16">
        <v>11</v>
      </c>
      <c r="M203" s="16">
        <v>0.5</v>
      </c>
      <c r="N203" s="16">
        <v>5</v>
      </c>
      <c r="O203" s="16">
        <v>96.75</v>
      </c>
      <c r="P203" t="s">
        <v>23</v>
      </c>
      <c r="Q203" t="s">
        <v>24</v>
      </c>
    </row>
    <row r="204" spans="1:17">
      <c r="A204" t="s">
        <v>246</v>
      </c>
      <c r="B204" s="14">
        <v>46230</v>
      </c>
      <c r="C204">
        <v>31</v>
      </c>
      <c r="D204" t="s">
        <v>40</v>
      </c>
      <c r="E204" t="s">
        <v>19</v>
      </c>
      <c r="F204" t="s">
        <v>95</v>
      </c>
      <c r="G204" t="s">
        <v>21</v>
      </c>
      <c r="H204" t="s">
        <v>37</v>
      </c>
      <c r="I204" s="12">
        <v>2.98</v>
      </c>
      <c r="J204" s="12">
        <v>1.02</v>
      </c>
      <c r="K204" s="16">
        <v>74.5</v>
      </c>
      <c r="L204" s="16">
        <v>11</v>
      </c>
      <c r="M204" s="16">
        <v>0.5</v>
      </c>
      <c r="N204" s="16">
        <v>5</v>
      </c>
      <c r="O204" s="16">
        <v>91</v>
      </c>
      <c r="P204" t="s">
        <v>23</v>
      </c>
      <c r="Q204" t="s">
        <v>24</v>
      </c>
    </row>
    <row r="205" spans="1:17">
      <c r="A205" t="s">
        <v>247</v>
      </c>
      <c r="B205" s="14">
        <v>46216</v>
      </c>
      <c r="C205">
        <v>29</v>
      </c>
      <c r="D205" t="s">
        <v>43</v>
      </c>
      <c r="E205" t="s">
        <v>27</v>
      </c>
      <c r="F205" t="s">
        <v>33</v>
      </c>
      <c r="G205" t="s">
        <v>21</v>
      </c>
      <c r="H205" t="s">
        <v>41</v>
      </c>
      <c r="I205" s="12">
        <v>4.56</v>
      </c>
      <c r="J205" s="12">
        <v>0</v>
      </c>
      <c r="K205" s="16">
        <v>114</v>
      </c>
      <c r="L205" s="16">
        <v>11</v>
      </c>
      <c r="M205" s="16">
        <v>0.5</v>
      </c>
      <c r="N205" s="16">
        <v>5</v>
      </c>
      <c r="O205" s="16">
        <v>130.5</v>
      </c>
      <c r="P205" t="s">
        <v>23</v>
      </c>
      <c r="Q205" t="s">
        <v>24</v>
      </c>
    </row>
    <row r="206" spans="1:17">
      <c r="A206" t="s">
        <v>248</v>
      </c>
      <c r="B206" s="14">
        <v>46224</v>
      </c>
      <c r="C206">
        <v>30</v>
      </c>
      <c r="D206" t="s">
        <v>18</v>
      </c>
      <c r="E206" t="s">
        <v>19</v>
      </c>
      <c r="F206" t="s">
        <v>33</v>
      </c>
      <c r="G206" t="s">
        <v>29</v>
      </c>
      <c r="H206" t="s">
        <v>30</v>
      </c>
      <c r="I206" s="12">
        <v>2.95</v>
      </c>
      <c r="J206" s="12">
        <v>0.47</v>
      </c>
      <c r="K206" s="16">
        <v>73.75</v>
      </c>
      <c r="L206" s="16">
        <v>11</v>
      </c>
      <c r="M206" s="16">
        <v>0.5</v>
      </c>
      <c r="N206" s="16">
        <v>5</v>
      </c>
      <c r="O206" s="16">
        <v>90.25</v>
      </c>
      <c r="P206" t="s">
        <v>34</v>
      </c>
      <c r="Q206" t="s">
        <v>38</v>
      </c>
    </row>
    <row r="207" spans="1:17">
      <c r="A207" t="s">
        <v>249</v>
      </c>
      <c r="B207" s="14">
        <v>46219</v>
      </c>
      <c r="C207">
        <v>29</v>
      </c>
      <c r="D207" t="s">
        <v>26</v>
      </c>
      <c r="E207" t="s">
        <v>27</v>
      </c>
      <c r="F207" t="s">
        <v>44</v>
      </c>
      <c r="G207" t="s">
        <v>50</v>
      </c>
      <c r="H207" t="s">
        <v>37</v>
      </c>
      <c r="I207" s="12">
        <v>3.04</v>
      </c>
      <c r="J207" s="12">
        <v>0</v>
      </c>
      <c r="K207" s="16">
        <v>76</v>
      </c>
      <c r="L207" s="16">
        <v>11</v>
      </c>
      <c r="M207" s="16">
        <v>0.5</v>
      </c>
      <c r="N207" s="16">
        <v>5</v>
      </c>
      <c r="O207" s="16">
        <v>92.5</v>
      </c>
      <c r="P207" t="s">
        <v>34</v>
      </c>
      <c r="Q207" t="s">
        <v>24</v>
      </c>
    </row>
    <row r="208" spans="1:17">
      <c r="A208" t="s">
        <v>250</v>
      </c>
      <c r="B208" s="14">
        <v>46216</v>
      </c>
      <c r="C208">
        <v>29</v>
      </c>
      <c r="D208" t="s">
        <v>32</v>
      </c>
      <c r="E208" t="s">
        <v>19</v>
      </c>
      <c r="F208" t="s">
        <v>33</v>
      </c>
      <c r="G208" t="s">
        <v>21</v>
      </c>
      <c r="H208" t="s">
        <v>30</v>
      </c>
      <c r="I208" s="12">
        <v>3.14</v>
      </c>
      <c r="J208" s="12">
        <v>0</v>
      </c>
      <c r="K208" s="16">
        <v>78.5</v>
      </c>
      <c r="L208" s="16">
        <v>11</v>
      </c>
      <c r="M208" s="16">
        <v>0.5</v>
      </c>
      <c r="N208" s="16">
        <v>5</v>
      </c>
      <c r="O208" s="16">
        <v>95</v>
      </c>
      <c r="P208" t="s">
        <v>34</v>
      </c>
      <c r="Q208" t="s">
        <v>24</v>
      </c>
    </row>
    <row r="209" spans="1:17">
      <c r="A209" t="s">
        <v>251</v>
      </c>
      <c r="B209" s="14">
        <v>46216</v>
      </c>
      <c r="C209">
        <v>29</v>
      </c>
      <c r="D209" t="s">
        <v>36</v>
      </c>
      <c r="E209" t="s">
        <v>27</v>
      </c>
      <c r="F209" t="s">
        <v>28</v>
      </c>
      <c r="G209" t="s">
        <v>21</v>
      </c>
      <c r="H209" t="s">
        <v>30</v>
      </c>
      <c r="I209" s="12">
        <v>2.86</v>
      </c>
      <c r="J209" s="12">
        <v>0.92</v>
      </c>
      <c r="K209" s="16">
        <v>71.5</v>
      </c>
      <c r="L209" s="16">
        <v>11</v>
      </c>
      <c r="M209" s="16">
        <v>0.5</v>
      </c>
      <c r="N209" s="16">
        <v>5</v>
      </c>
      <c r="O209" s="16">
        <v>88</v>
      </c>
      <c r="P209" t="s">
        <v>23</v>
      </c>
      <c r="Q209" t="s">
        <v>24</v>
      </c>
    </row>
    <row r="210" spans="1:17">
      <c r="A210" t="s">
        <v>252</v>
      </c>
      <c r="B210" s="14">
        <v>46225</v>
      </c>
      <c r="C210">
        <v>30</v>
      </c>
      <c r="D210" t="s">
        <v>40</v>
      </c>
      <c r="E210" t="s">
        <v>19</v>
      </c>
      <c r="F210" t="s">
        <v>28</v>
      </c>
      <c r="G210" t="s">
        <v>21</v>
      </c>
      <c r="H210" t="s">
        <v>30</v>
      </c>
      <c r="I210" s="12">
        <v>3</v>
      </c>
      <c r="J210" s="12">
        <v>0.68</v>
      </c>
      <c r="K210" s="16">
        <v>75</v>
      </c>
      <c r="L210" s="16">
        <v>11</v>
      </c>
      <c r="M210" s="16">
        <v>0.5</v>
      </c>
      <c r="N210" s="16">
        <v>5</v>
      </c>
      <c r="O210" s="16">
        <v>91.5</v>
      </c>
      <c r="P210" t="s">
        <v>23</v>
      </c>
      <c r="Q210" t="s">
        <v>24</v>
      </c>
    </row>
    <row r="211" spans="1:17">
      <c r="A211" t="s">
        <v>253</v>
      </c>
      <c r="B211" s="14">
        <v>46226</v>
      </c>
      <c r="C211">
        <v>30</v>
      </c>
      <c r="D211" t="s">
        <v>43</v>
      </c>
      <c r="E211" t="s">
        <v>27</v>
      </c>
      <c r="F211" t="s">
        <v>33</v>
      </c>
      <c r="G211" t="s">
        <v>21</v>
      </c>
      <c r="H211" t="s">
        <v>45</v>
      </c>
      <c r="I211" s="12">
        <v>3.78</v>
      </c>
      <c r="J211" s="12">
        <v>0</v>
      </c>
      <c r="K211" s="16">
        <v>94.5</v>
      </c>
      <c r="L211" s="16">
        <v>11</v>
      </c>
      <c r="M211" s="16">
        <v>0.5</v>
      </c>
      <c r="N211" s="16">
        <v>5</v>
      </c>
      <c r="O211" s="16">
        <v>111</v>
      </c>
      <c r="P211" t="s">
        <v>34</v>
      </c>
      <c r="Q211" t="s">
        <v>38</v>
      </c>
    </row>
    <row r="212" spans="1:17">
      <c r="A212" t="s">
        <v>254</v>
      </c>
      <c r="B212" s="14">
        <v>46224</v>
      </c>
      <c r="C212">
        <v>30</v>
      </c>
      <c r="D212" t="s">
        <v>18</v>
      </c>
      <c r="E212" t="s">
        <v>19</v>
      </c>
      <c r="F212" t="s">
        <v>44</v>
      </c>
      <c r="G212" t="s">
        <v>21</v>
      </c>
      <c r="H212" t="s">
        <v>30</v>
      </c>
      <c r="I212" s="12">
        <v>3.82</v>
      </c>
      <c r="J212" s="12">
        <v>0.68</v>
      </c>
      <c r="K212" s="16">
        <v>95.5</v>
      </c>
      <c r="L212" s="16">
        <v>11</v>
      </c>
      <c r="M212" s="16">
        <v>0.5</v>
      </c>
      <c r="N212" s="16">
        <v>5</v>
      </c>
      <c r="O212" s="16">
        <v>112</v>
      </c>
      <c r="P212" t="s">
        <v>34</v>
      </c>
      <c r="Q212" t="s">
        <v>24</v>
      </c>
    </row>
    <row r="213" spans="1:17">
      <c r="A213" t="s">
        <v>255</v>
      </c>
      <c r="B213" s="14">
        <v>46218</v>
      </c>
      <c r="C213">
        <v>29</v>
      </c>
      <c r="D213" t="s">
        <v>26</v>
      </c>
      <c r="E213" t="s">
        <v>27</v>
      </c>
      <c r="F213" t="s">
        <v>20</v>
      </c>
      <c r="G213" t="s">
        <v>21</v>
      </c>
      <c r="H213" t="s">
        <v>45</v>
      </c>
      <c r="I213" s="12">
        <v>5.21</v>
      </c>
      <c r="J213" s="12">
        <v>0</v>
      </c>
      <c r="K213" s="16">
        <v>130.25</v>
      </c>
      <c r="L213" s="16">
        <v>11</v>
      </c>
      <c r="M213" s="16">
        <v>0.5</v>
      </c>
      <c r="N213" s="16">
        <v>5</v>
      </c>
      <c r="O213" s="16">
        <v>146.75</v>
      </c>
      <c r="P213" t="s">
        <v>23</v>
      </c>
      <c r="Q213" t="s">
        <v>38</v>
      </c>
    </row>
    <row r="214" spans="1:17">
      <c r="A214" t="s">
        <v>256</v>
      </c>
      <c r="B214" s="14">
        <v>46226</v>
      </c>
      <c r="C214">
        <v>30</v>
      </c>
      <c r="D214" t="s">
        <v>32</v>
      </c>
      <c r="E214" t="s">
        <v>19</v>
      </c>
      <c r="F214" t="s">
        <v>33</v>
      </c>
      <c r="G214" t="s">
        <v>29</v>
      </c>
      <c r="H214" t="s">
        <v>64</v>
      </c>
      <c r="I214" s="12">
        <v>5.78</v>
      </c>
      <c r="J214" s="12">
        <v>0.64</v>
      </c>
      <c r="K214" s="16">
        <v>144.5</v>
      </c>
      <c r="L214" s="16">
        <v>11</v>
      </c>
      <c r="M214" s="16">
        <v>0.5</v>
      </c>
      <c r="N214" s="16">
        <v>5</v>
      </c>
      <c r="O214" s="16">
        <v>161</v>
      </c>
      <c r="P214" t="s">
        <v>34</v>
      </c>
      <c r="Q214" t="s">
        <v>24</v>
      </c>
    </row>
    <row r="215" spans="1:17">
      <c r="A215" t="s">
        <v>257</v>
      </c>
      <c r="B215" s="14">
        <v>46226</v>
      </c>
      <c r="C215">
        <v>30</v>
      </c>
      <c r="D215" t="s">
        <v>36</v>
      </c>
      <c r="E215" t="s">
        <v>27</v>
      </c>
      <c r="F215" t="s">
        <v>44</v>
      </c>
      <c r="G215" t="s">
        <v>29</v>
      </c>
      <c r="H215" t="s">
        <v>45</v>
      </c>
      <c r="I215" s="12">
        <v>3.36</v>
      </c>
      <c r="J215" s="12">
        <v>0</v>
      </c>
      <c r="K215" s="16">
        <v>84</v>
      </c>
      <c r="L215" s="16">
        <v>11</v>
      </c>
      <c r="M215" s="16">
        <v>0.5</v>
      </c>
      <c r="N215" s="16">
        <v>5</v>
      </c>
      <c r="O215" s="16">
        <v>100.5</v>
      </c>
      <c r="P215" t="s">
        <v>34</v>
      </c>
      <c r="Q215" t="s">
        <v>24</v>
      </c>
    </row>
    <row r="216" spans="1:17">
      <c r="A216" t="s">
        <v>258</v>
      </c>
      <c r="B216" s="14">
        <v>46220</v>
      </c>
      <c r="C216">
        <v>29</v>
      </c>
      <c r="D216" t="s">
        <v>40</v>
      </c>
      <c r="E216" t="s">
        <v>19</v>
      </c>
      <c r="F216" t="s">
        <v>44</v>
      </c>
      <c r="G216" t="s">
        <v>21</v>
      </c>
      <c r="H216" t="s">
        <v>22</v>
      </c>
      <c r="I216" s="12">
        <v>1.5</v>
      </c>
      <c r="J216" s="12">
        <v>0.31</v>
      </c>
      <c r="K216" s="16">
        <v>37.5</v>
      </c>
      <c r="L216" s="16">
        <v>11</v>
      </c>
      <c r="M216" s="16">
        <v>0.5</v>
      </c>
      <c r="N216" s="16">
        <v>5</v>
      </c>
      <c r="O216" s="16">
        <v>54</v>
      </c>
      <c r="P216" t="s">
        <v>34</v>
      </c>
      <c r="Q216" t="s">
        <v>24</v>
      </c>
    </row>
    <row r="217" spans="1:17">
      <c r="A217" t="s">
        <v>259</v>
      </c>
      <c r="B217" s="14">
        <v>46227</v>
      </c>
      <c r="C217">
        <v>30</v>
      </c>
      <c r="D217" t="s">
        <v>43</v>
      </c>
      <c r="E217" t="s">
        <v>27</v>
      </c>
      <c r="F217" t="s">
        <v>44</v>
      </c>
      <c r="G217" t="s">
        <v>21</v>
      </c>
      <c r="H217" t="s">
        <v>64</v>
      </c>
      <c r="I217" s="12">
        <v>4.68</v>
      </c>
      <c r="J217" s="12">
        <v>0.69</v>
      </c>
      <c r="K217" s="16">
        <v>117</v>
      </c>
      <c r="L217" s="16">
        <v>11</v>
      </c>
      <c r="M217" s="16">
        <v>0.5</v>
      </c>
      <c r="N217" s="16">
        <v>5</v>
      </c>
      <c r="O217" s="16">
        <v>133.5</v>
      </c>
      <c r="P217" t="s">
        <v>34</v>
      </c>
      <c r="Q217" t="s">
        <v>24</v>
      </c>
    </row>
    <row r="218" spans="1:17">
      <c r="A218" t="s">
        <v>260</v>
      </c>
      <c r="B218" s="14">
        <v>46224</v>
      </c>
      <c r="C218">
        <v>30</v>
      </c>
      <c r="D218" t="s">
        <v>18</v>
      </c>
      <c r="E218" t="s">
        <v>19</v>
      </c>
      <c r="F218" t="s">
        <v>33</v>
      </c>
      <c r="G218" t="s">
        <v>29</v>
      </c>
      <c r="H218" t="s">
        <v>37</v>
      </c>
      <c r="I218" s="12">
        <v>3.9</v>
      </c>
      <c r="J218" s="12">
        <v>0.43</v>
      </c>
      <c r="K218" s="16">
        <v>97.5</v>
      </c>
      <c r="L218" s="16">
        <v>11</v>
      </c>
      <c r="M218" s="16">
        <v>0.5</v>
      </c>
      <c r="N218" s="16">
        <v>5</v>
      </c>
      <c r="O218" s="16">
        <v>114</v>
      </c>
      <c r="P218" t="s">
        <v>34</v>
      </c>
      <c r="Q218" t="s">
        <v>24</v>
      </c>
    </row>
    <row r="219" spans="1:17">
      <c r="A219" t="s">
        <v>261</v>
      </c>
      <c r="B219" s="14">
        <v>46220</v>
      </c>
      <c r="C219">
        <v>29</v>
      </c>
      <c r="D219" t="s">
        <v>26</v>
      </c>
      <c r="E219" t="s">
        <v>27</v>
      </c>
      <c r="F219" t="s">
        <v>20</v>
      </c>
      <c r="G219" t="s">
        <v>29</v>
      </c>
      <c r="H219" t="s">
        <v>30</v>
      </c>
      <c r="I219" s="12">
        <v>3.16</v>
      </c>
      <c r="J219" s="12">
        <v>0</v>
      </c>
      <c r="K219" s="16">
        <v>79</v>
      </c>
      <c r="L219" s="16">
        <v>11</v>
      </c>
      <c r="M219" s="16">
        <v>0.5</v>
      </c>
      <c r="N219" s="16">
        <v>5</v>
      </c>
      <c r="O219" s="16">
        <v>95.5</v>
      </c>
      <c r="P219" t="s">
        <v>23</v>
      </c>
      <c r="Q219" t="s">
        <v>24</v>
      </c>
    </row>
    <row r="220" spans="1:17">
      <c r="A220" t="s">
        <v>262</v>
      </c>
      <c r="B220" s="14">
        <v>46227</v>
      </c>
      <c r="C220">
        <v>30</v>
      </c>
      <c r="D220" t="s">
        <v>32</v>
      </c>
      <c r="E220" t="s">
        <v>19</v>
      </c>
      <c r="F220" t="s">
        <v>28</v>
      </c>
      <c r="G220" t="s">
        <v>21</v>
      </c>
      <c r="H220" t="s">
        <v>37</v>
      </c>
      <c r="I220" s="12">
        <v>3.49</v>
      </c>
      <c r="J220" s="12">
        <v>0</v>
      </c>
      <c r="K220" s="16">
        <v>87.25</v>
      </c>
      <c r="L220" s="16">
        <v>11</v>
      </c>
      <c r="M220" s="16">
        <v>0.5</v>
      </c>
      <c r="N220" s="16">
        <v>5</v>
      </c>
      <c r="O220" s="16">
        <v>103.75</v>
      </c>
      <c r="P220" t="s">
        <v>23</v>
      </c>
      <c r="Q220" t="s">
        <v>24</v>
      </c>
    </row>
    <row r="221" spans="1:17">
      <c r="A221" t="s">
        <v>263</v>
      </c>
      <c r="B221" s="14">
        <v>46230</v>
      </c>
      <c r="C221">
        <v>31</v>
      </c>
      <c r="D221" t="s">
        <v>36</v>
      </c>
      <c r="E221" t="s">
        <v>27</v>
      </c>
      <c r="F221" t="s">
        <v>44</v>
      </c>
      <c r="G221" t="s">
        <v>29</v>
      </c>
      <c r="H221" t="s">
        <v>37</v>
      </c>
      <c r="I221" s="12">
        <v>3.72</v>
      </c>
      <c r="J221" s="12">
        <v>1.33</v>
      </c>
      <c r="K221" s="16">
        <v>93</v>
      </c>
      <c r="L221" s="16">
        <v>11</v>
      </c>
      <c r="M221" s="16">
        <v>0.5</v>
      </c>
      <c r="N221" s="16">
        <v>5</v>
      </c>
      <c r="O221" s="16">
        <v>109.5</v>
      </c>
      <c r="P221" t="s">
        <v>34</v>
      </c>
      <c r="Q221" t="s">
        <v>24</v>
      </c>
    </row>
    <row r="222" spans="1:17">
      <c r="A222" t="s">
        <v>264</v>
      </c>
      <c r="B222" s="14">
        <v>46216</v>
      </c>
      <c r="C222">
        <v>29</v>
      </c>
      <c r="D222" t="s">
        <v>40</v>
      </c>
      <c r="E222" t="s">
        <v>19</v>
      </c>
      <c r="F222" t="s">
        <v>33</v>
      </c>
      <c r="G222" t="s">
        <v>29</v>
      </c>
      <c r="H222" t="s">
        <v>45</v>
      </c>
      <c r="I222" s="12">
        <v>3.63</v>
      </c>
      <c r="J222" s="12">
        <v>0.88</v>
      </c>
      <c r="K222" s="16">
        <v>90.75</v>
      </c>
      <c r="L222" s="16">
        <v>11</v>
      </c>
      <c r="M222" s="16">
        <v>0.5</v>
      </c>
      <c r="N222" s="16">
        <v>5</v>
      </c>
      <c r="O222" s="16">
        <v>107.25</v>
      </c>
      <c r="P222" t="s">
        <v>34</v>
      </c>
      <c r="Q222" t="s">
        <v>24</v>
      </c>
    </row>
    <row r="223" spans="1:17">
      <c r="A223" t="s">
        <v>265</v>
      </c>
      <c r="B223" s="14">
        <v>46224</v>
      </c>
      <c r="C223">
        <v>30</v>
      </c>
      <c r="D223" t="s">
        <v>43</v>
      </c>
      <c r="E223" t="s">
        <v>27</v>
      </c>
      <c r="F223" t="s">
        <v>28</v>
      </c>
      <c r="G223" t="s">
        <v>29</v>
      </c>
      <c r="H223" t="s">
        <v>41</v>
      </c>
      <c r="I223" s="12">
        <v>4.01</v>
      </c>
      <c r="J223" s="12">
        <v>0.62</v>
      </c>
      <c r="K223" s="16">
        <v>100.25</v>
      </c>
      <c r="L223" s="16">
        <v>11</v>
      </c>
      <c r="M223" s="16">
        <v>0.5</v>
      </c>
      <c r="N223" s="16">
        <v>5</v>
      </c>
      <c r="O223" s="16">
        <v>116.75</v>
      </c>
      <c r="P223" t="s">
        <v>23</v>
      </c>
      <c r="Q223" t="s">
        <v>24</v>
      </c>
    </row>
    <row r="224" spans="1:17">
      <c r="A224" t="s">
        <v>266</v>
      </c>
      <c r="B224" s="14">
        <v>46230</v>
      </c>
      <c r="C224">
        <v>31</v>
      </c>
      <c r="D224" t="s">
        <v>18</v>
      </c>
      <c r="E224" t="s">
        <v>19</v>
      </c>
      <c r="F224" t="s">
        <v>33</v>
      </c>
      <c r="G224" t="s">
        <v>50</v>
      </c>
      <c r="H224" t="s">
        <v>64</v>
      </c>
      <c r="I224" s="12">
        <v>4.17</v>
      </c>
      <c r="J224" s="12">
        <v>0</v>
      </c>
      <c r="K224" s="16">
        <v>104.25</v>
      </c>
      <c r="L224" s="16">
        <v>11</v>
      </c>
      <c r="M224" s="16">
        <v>0.5</v>
      </c>
      <c r="N224" s="16">
        <v>5</v>
      </c>
      <c r="O224" s="16">
        <v>120.75</v>
      </c>
      <c r="P224" t="s">
        <v>34</v>
      </c>
      <c r="Q224" t="s">
        <v>24</v>
      </c>
    </row>
    <row r="225" spans="1:17">
      <c r="A225" t="s">
        <v>267</v>
      </c>
      <c r="B225" s="14">
        <v>46227</v>
      </c>
      <c r="C225">
        <v>30</v>
      </c>
      <c r="D225" t="s">
        <v>26</v>
      </c>
      <c r="E225" t="s">
        <v>27</v>
      </c>
      <c r="F225" t="s">
        <v>28</v>
      </c>
      <c r="G225" t="s">
        <v>50</v>
      </c>
      <c r="H225" t="s">
        <v>30</v>
      </c>
      <c r="I225" s="12">
        <v>3.61</v>
      </c>
      <c r="J225" s="12">
        <v>0</v>
      </c>
      <c r="K225" s="16">
        <v>90.25</v>
      </c>
      <c r="L225" s="16">
        <v>11</v>
      </c>
      <c r="M225" s="16">
        <v>0.5</v>
      </c>
      <c r="N225" s="16">
        <v>5</v>
      </c>
      <c r="O225" s="16">
        <v>106.75</v>
      </c>
      <c r="P225" t="s">
        <v>23</v>
      </c>
      <c r="Q225" t="s">
        <v>38</v>
      </c>
    </row>
    <row r="226" spans="1:17">
      <c r="A226" t="s">
        <v>268</v>
      </c>
      <c r="B226" s="14">
        <v>46230</v>
      </c>
      <c r="C226">
        <v>31</v>
      </c>
      <c r="D226" t="s">
        <v>32</v>
      </c>
      <c r="E226" t="s">
        <v>19</v>
      </c>
      <c r="F226" t="s">
        <v>33</v>
      </c>
      <c r="G226" t="s">
        <v>21</v>
      </c>
      <c r="H226" t="s">
        <v>22</v>
      </c>
      <c r="I226" s="12">
        <v>0.89</v>
      </c>
      <c r="J226" s="12">
        <v>0</v>
      </c>
      <c r="K226" s="16">
        <v>22.25</v>
      </c>
      <c r="L226" s="16">
        <v>11</v>
      </c>
      <c r="M226" s="16">
        <v>0.5</v>
      </c>
      <c r="N226" s="16">
        <v>5</v>
      </c>
      <c r="O226" s="16">
        <v>38.75</v>
      </c>
      <c r="P226" t="s">
        <v>34</v>
      </c>
      <c r="Q226" t="s">
        <v>24</v>
      </c>
    </row>
    <row r="227" spans="1:17">
      <c r="A227" t="s">
        <v>269</v>
      </c>
      <c r="B227" s="14">
        <v>46224</v>
      </c>
      <c r="C227">
        <v>30</v>
      </c>
      <c r="D227" t="s">
        <v>36</v>
      </c>
      <c r="E227" t="s">
        <v>27</v>
      </c>
      <c r="F227" t="s">
        <v>28</v>
      </c>
      <c r="G227" t="s">
        <v>21</v>
      </c>
      <c r="H227" t="s">
        <v>64</v>
      </c>
      <c r="I227" s="12">
        <v>4.48</v>
      </c>
      <c r="J227" s="12">
        <v>0.88</v>
      </c>
      <c r="K227" s="16">
        <v>112</v>
      </c>
      <c r="L227" s="16">
        <v>11</v>
      </c>
      <c r="M227" s="16">
        <v>0.5</v>
      </c>
      <c r="N227" s="16">
        <v>5</v>
      </c>
      <c r="O227" s="16">
        <v>128.5</v>
      </c>
      <c r="P227" t="s">
        <v>23</v>
      </c>
      <c r="Q227" t="s">
        <v>24</v>
      </c>
    </row>
    <row r="228" spans="1:17">
      <c r="A228" t="s">
        <v>270</v>
      </c>
      <c r="B228" s="14">
        <v>46218</v>
      </c>
      <c r="C228">
        <v>29</v>
      </c>
      <c r="D228" t="s">
        <v>40</v>
      </c>
      <c r="E228" t="s">
        <v>19</v>
      </c>
      <c r="F228" t="s">
        <v>33</v>
      </c>
      <c r="G228" t="s">
        <v>70</v>
      </c>
      <c r="H228" t="s">
        <v>45</v>
      </c>
      <c r="I228" s="12">
        <v>4.16</v>
      </c>
      <c r="J228" s="12">
        <v>0</v>
      </c>
      <c r="K228" s="16">
        <v>104</v>
      </c>
      <c r="L228" s="16">
        <v>11</v>
      </c>
      <c r="M228" s="16">
        <v>0.5</v>
      </c>
      <c r="N228" s="16">
        <v>5</v>
      </c>
      <c r="O228" s="16">
        <v>120.5</v>
      </c>
      <c r="P228" t="s">
        <v>34</v>
      </c>
      <c r="Q228" t="s">
        <v>24</v>
      </c>
    </row>
    <row r="229" spans="1:17">
      <c r="A229" t="s">
        <v>271</v>
      </c>
      <c r="B229" s="14">
        <v>46217</v>
      </c>
      <c r="C229">
        <v>29</v>
      </c>
      <c r="D229" t="s">
        <v>43</v>
      </c>
      <c r="E229" t="s">
        <v>27</v>
      </c>
      <c r="F229" t="s">
        <v>33</v>
      </c>
      <c r="G229" t="s">
        <v>29</v>
      </c>
      <c r="H229" t="s">
        <v>45</v>
      </c>
      <c r="I229" s="12">
        <v>4.63</v>
      </c>
      <c r="J229" s="12">
        <v>0</v>
      </c>
      <c r="K229" s="16">
        <v>115.75</v>
      </c>
      <c r="L229" s="16">
        <v>11</v>
      </c>
      <c r="M229" s="16">
        <v>0.5</v>
      </c>
      <c r="N229" s="16">
        <v>5</v>
      </c>
      <c r="O229" s="16">
        <v>132.25</v>
      </c>
      <c r="P229" t="s">
        <v>23</v>
      </c>
      <c r="Q229" t="s">
        <v>38</v>
      </c>
    </row>
    <row r="230" spans="1:17">
      <c r="A230" t="s">
        <v>272</v>
      </c>
      <c r="B230" s="14">
        <v>46224</v>
      </c>
      <c r="C230">
        <v>30</v>
      </c>
      <c r="D230" t="s">
        <v>18</v>
      </c>
      <c r="E230" t="s">
        <v>19</v>
      </c>
      <c r="F230" t="s">
        <v>33</v>
      </c>
      <c r="G230" t="s">
        <v>29</v>
      </c>
      <c r="H230" t="s">
        <v>37</v>
      </c>
      <c r="I230" s="12">
        <v>3.83</v>
      </c>
      <c r="J230" s="12">
        <v>0.34</v>
      </c>
      <c r="K230" s="16">
        <v>95.75</v>
      </c>
      <c r="L230" s="16">
        <v>11</v>
      </c>
      <c r="M230" s="16">
        <v>0.5</v>
      </c>
      <c r="N230" s="16">
        <v>5</v>
      </c>
      <c r="O230" s="16">
        <v>112.25</v>
      </c>
      <c r="P230" t="s">
        <v>23</v>
      </c>
      <c r="Q230" t="s">
        <v>24</v>
      </c>
    </row>
    <row r="231" spans="1:17">
      <c r="A231" t="s">
        <v>273</v>
      </c>
      <c r="B231" s="14">
        <v>46219</v>
      </c>
      <c r="C231">
        <v>29</v>
      </c>
      <c r="D231" t="s">
        <v>26</v>
      </c>
      <c r="E231" t="s">
        <v>27</v>
      </c>
      <c r="F231" t="s">
        <v>44</v>
      </c>
      <c r="G231" t="s">
        <v>21</v>
      </c>
      <c r="H231" t="s">
        <v>37</v>
      </c>
      <c r="I231" s="12">
        <v>3.71</v>
      </c>
      <c r="J231" s="12">
        <v>1.19</v>
      </c>
      <c r="K231" s="16">
        <v>92.75</v>
      </c>
      <c r="L231" s="16">
        <v>11</v>
      </c>
      <c r="M231" s="16">
        <v>0.5</v>
      </c>
      <c r="N231" s="16">
        <v>5</v>
      </c>
      <c r="O231" s="16">
        <v>109.25</v>
      </c>
      <c r="P231" t="s">
        <v>23</v>
      </c>
      <c r="Q231" t="s">
        <v>24</v>
      </c>
    </row>
  </sheetData>
  <conditionalFormatting sqref="F2:F231">
    <cfRule type="expression" dxfId="0" priority="1">
      <formula>F2="Parada"</formula>
    </cfRule>
  </conditionalFormatting>
  <conditionalFormatting sqref="Q2:Q231">
    <cfRule type="expression" dxfId="1" priority="2">
      <formula>Q2="Retraso"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"/>
    </sheetView>
  </sheetViews>
  <sheetFormatPr defaultColWidth="9" defaultRowHeight="13.8"/>
  <cols>
    <col min="1" max="15" width="17" customWidth="1"/>
  </cols>
  <sheetData>
    <row r="1" spans="1:15">
      <c r="A1" s="11" t="s">
        <v>3</v>
      </c>
      <c r="B1" s="11" t="s">
        <v>8</v>
      </c>
      <c r="C1" s="11" t="s">
        <v>274</v>
      </c>
      <c r="D1" s="11" t="s">
        <v>9</v>
      </c>
      <c r="E1" s="11" t="s">
        <v>10</v>
      </c>
      <c r="F1" s="11" t="s">
        <v>275</v>
      </c>
      <c r="H1" s="11" t="s">
        <v>5</v>
      </c>
      <c r="I1" s="11" t="s">
        <v>276</v>
      </c>
      <c r="K1" s="11" t="s">
        <v>6</v>
      </c>
      <c r="L1" s="11" t="s">
        <v>276</v>
      </c>
      <c r="N1" s="11" t="s">
        <v>7</v>
      </c>
      <c r="O1" s="11" t="s">
        <v>276</v>
      </c>
    </row>
    <row r="2" spans="1:15">
      <c r="A2" t="s">
        <v>18</v>
      </c>
      <c r="B2" s="12">
        <f>SUMIF(Base_Datos!$D$2:$D$231,A2,Base_Datos!$I$2:$I$231)</f>
        <v>133.4</v>
      </c>
      <c r="C2" s="12">
        <f>COUNTIF(Base_Datos!$D$2:$D$231,A2)</f>
        <v>39</v>
      </c>
      <c r="D2" s="12">
        <f>SUMIF(Base_Datos!$D$2:$D$231,A2,Base_Datos!$J$2:$J$231)</f>
        <v>14.86</v>
      </c>
      <c r="E2" s="12">
        <f>SUMIF(Base_Datos!$D$2:$D$231,A2,Base_Datos!$K$2:$K$231)</f>
        <v>3335</v>
      </c>
      <c r="F2" s="13">
        <f t="shared" ref="F2:F7" si="0">B2/88</f>
        <v>1.51590909090909</v>
      </c>
      <c r="H2" t="s">
        <v>44</v>
      </c>
      <c r="I2">
        <f>COUNTIF(Base_Datos!$F$2:$F$231,H2)</f>
        <v>42</v>
      </c>
      <c r="K2" t="s">
        <v>29</v>
      </c>
      <c r="L2">
        <f>COUNTIF(Base_Datos!$G$2:$G$231,K2)</f>
        <v>83</v>
      </c>
      <c r="N2" t="s">
        <v>22</v>
      </c>
      <c r="O2">
        <f>COUNTIF(Base_Datos!$H$2:$H$231,N2)</f>
        <v>43</v>
      </c>
    </row>
    <row r="3" spans="1:15">
      <c r="A3" t="s">
        <v>26</v>
      </c>
      <c r="B3" s="12">
        <f>SUMIF(Base_Datos!$D$2:$D$231,A3,Base_Datos!$I$2:$I$231)</f>
        <v>127.82</v>
      </c>
      <c r="C3" s="12">
        <f>COUNTIF(Base_Datos!$D$2:$D$231,A3)</f>
        <v>39</v>
      </c>
      <c r="D3" s="12">
        <f>SUMIF(Base_Datos!$D$2:$D$231,A3,Base_Datos!$J$2:$J$231)</f>
        <v>18.37</v>
      </c>
      <c r="E3" s="12">
        <f>SUMIF(Base_Datos!$D$2:$D$231,A3,Base_Datos!$K$2:$K$231)</f>
        <v>3195.5</v>
      </c>
      <c r="F3" s="13">
        <f t="shared" si="0"/>
        <v>1.4525</v>
      </c>
      <c r="H3" t="s">
        <v>33</v>
      </c>
      <c r="I3">
        <f>COUNTIF(Base_Datos!$F$2:$F$231,H3)</f>
        <v>73</v>
      </c>
      <c r="K3" t="s">
        <v>21</v>
      </c>
      <c r="L3">
        <f>COUNTIF(Base_Datos!$G$2:$G$231,K3)</f>
        <v>103</v>
      </c>
      <c r="N3" t="s">
        <v>30</v>
      </c>
      <c r="O3">
        <f>COUNTIF(Base_Datos!$H$2:$H$231,N3)</f>
        <v>39</v>
      </c>
    </row>
    <row r="4" spans="1:15">
      <c r="A4" t="s">
        <v>32</v>
      </c>
      <c r="B4" s="12">
        <f>SUMIF(Base_Datos!$D$2:$D$231,A4,Base_Datos!$I$2:$I$231)</f>
        <v>123.94</v>
      </c>
      <c r="C4" s="12">
        <f>COUNTIF(Base_Datos!$D$2:$D$231,A4)</f>
        <v>38</v>
      </c>
      <c r="D4" s="12">
        <f>SUMIF(Base_Datos!$D$2:$D$231,A4,Base_Datos!$J$2:$J$231)</f>
        <v>13.74</v>
      </c>
      <c r="E4" s="12">
        <f>SUMIF(Base_Datos!$D$2:$D$231,A4,Base_Datos!$K$2:$K$231)</f>
        <v>3098.5</v>
      </c>
      <c r="F4" s="13">
        <f t="shared" si="0"/>
        <v>1.40840909090909</v>
      </c>
      <c r="H4" t="s">
        <v>28</v>
      </c>
      <c r="I4">
        <f>COUNTIF(Base_Datos!$F$2:$F$231,H4)</f>
        <v>80</v>
      </c>
      <c r="K4" t="s">
        <v>50</v>
      </c>
      <c r="L4">
        <f>COUNTIF(Base_Datos!$G$2:$G$231,K4)</f>
        <v>33</v>
      </c>
      <c r="N4" t="s">
        <v>41</v>
      </c>
      <c r="O4">
        <f>COUNTIF(Base_Datos!$H$2:$H$231,N4)</f>
        <v>42</v>
      </c>
    </row>
    <row r="5" spans="1:15">
      <c r="A5" t="s">
        <v>36</v>
      </c>
      <c r="B5" s="12">
        <f>SUMIF(Base_Datos!$D$2:$D$231,A5,Base_Datos!$I$2:$I$231)</f>
        <v>136.11</v>
      </c>
      <c r="C5" s="12">
        <f>COUNTIF(Base_Datos!$D$2:$D$231,A5)</f>
        <v>38</v>
      </c>
      <c r="D5" s="12">
        <f>SUMIF(Base_Datos!$D$2:$D$231,A5,Base_Datos!$J$2:$J$231)</f>
        <v>17.65</v>
      </c>
      <c r="E5" s="12">
        <f>SUMIF(Base_Datos!$D$2:$D$231,A5,Base_Datos!$K$2:$K$231)</f>
        <v>3402.75</v>
      </c>
      <c r="F5" s="13">
        <f t="shared" si="0"/>
        <v>1.54670454545455</v>
      </c>
      <c r="H5" t="s">
        <v>20</v>
      </c>
      <c r="I5">
        <f>COUNTIF(Base_Datos!$F$2:$F$231,H5)</f>
        <v>31</v>
      </c>
      <c r="K5" t="s">
        <v>70</v>
      </c>
      <c r="L5">
        <f>COUNTIF(Base_Datos!$G$2:$G$231,K5)</f>
        <v>11</v>
      </c>
      <c r="N5" t="s">
        <v>45</v>
      </c>
      <c r="O5">
        <f>COUNTIF(Base_Datos!$H$2:$H$231,N5)</f>
        <v>27</v>
      </c>
    </row>
    <row r="6" spans="1:15">
      <c r="A6" t="s">
        <v>40</v>
      </c>
      <c r="B6" s="12">
        <f>SUMIF(Base_Datos!$D$2:$D$231,A6,Base_Datos!$I$2:$I$231)</f>
        <v>131.4</v>
      </c>
      <c r="C6" s="12">
        <f>COUNTIF(Base_Datos!$D$2:$D$231,A6)</f>
        <v>38</v>
      </c>
      <c r="D6" s="12">
        <f>SUMIF(Base_Datos!$D$2:$D$231,A6,Base_Datos!$J$2:$J$231)</f>
        <v>20.07</v>
      </c>
      <c r="E6" s="12">
        <f>SUMIF(Base_Datos!$D$2:$D$231,A6,Base_Datos!$K$2:$K$231)</f>
        <v>3285</v>
      </c>
      <c r="F6" s="13">
        <f t="shared" si="0"/>
        <v>1.49318181818182</v>
      </c>
      <c r="H6" t="s">
        <v>95</v>
      </c>
      <c r="I6">
        <f>COUNTIF(Base_Datos!$F$2:$F$231,H6)</f>
        <v>4</v>
      </c>
      <c r="N6" t="s">
        <v>64</v>
      </c>
      <c r="O6">
        <f>COUNTIF(Base_Datos!$H$2:$H$231,N6)</f>
        <v>36</v>
      </c>
    </row>
    <row r="7" spans="1:15">
      <c r="A7" t="s">
        <v>43</v>
      </c>
      <c r="B7" s="12">
        <f>SUMIF(Base_Datos!$D$2:$D$231,A7,Base_Datos!$I$2:$I$231)</f>
        <v>131.22</v>
      </c>
      <c r="C7" s="12">
        <f>COUNTIF(Base_Datos!$D$2:$D$231,A7)</f>
        <v>38</v>
      </c>
      <c r="D7" s="12">
        <f>SUMIF(Base_Datos!$D$2:$D$231,A7,Base_Datos!$J$2:$J$231)</f>
        <v>13.86</v>
      </c>
      <c r="E7" s="12">
        <f>SUMIF(Base_Datos!$D$2:$D$231,A7,Base_Datos!$K$2:$K$231)</f>
        <v>3280.5</v>
      </c>
      <c r="F7" s="13">
        <f t="shared" si="0"/>
        <v>1.49113636363636</v>
      </c>
      <c r="N7" t="s">
        <v>37</v>
      </c>
      <c r="O7">
        <f>COUNTIF(Base_Datos!$H$2:$H$231,N7)</f>
        <v>43</v>
      </c>
    </row>
    <row r="10" spans="1:15">
      <c r="A10" s="11" t="s">
        <v>1</v>
      </c>
      <c r="B10" s="11" t="s">
        <v>274</v>
      </c>
      <c r="C10" s="11" t="s">
        <v>8</v>
      </c>
      <c r="D10" s="11" t="s">
        <v>9</v>
      </c>
      <c r="E10" s="11" t="s">
        <v>10</v>
      </c>
      <c r="F10" s="11" t="s">
        <v>11</v>
      </c>
      <c r="G10" s="11" t="s">
        <v>12</v>
      </c>
      <c r="H10" s="11" t="s">
        <v>277</v>
      </c>
      <c r="I10" s="11" t="s">
        <v>14</v>
      </c>
      <c r="J10" s="11" t="s">
        <v>275</v>
      </c>
    </row>
    <row r="11" spans="1:15">
      <c r="A11" s="14">
        <v>46216</v>
      </c>
      <c r="B11">
        <f>COUNTIF(Base_Datos!$B$2:$B$231,A11)</f>
        <v>24</v>
      </c>
      <c r="C11" s="12">
        <f>SUMIF(Base_Datos!$B$2:$B$231,A11,Base_Datos!$I$2:$I$231)</f>
        <v>84.6</v>
      </c>
      <c r="D11" s="12">
        <f>SUMIF(Base_Datos!$B$2:$B$231,A11,Base_Datos!$J$2:$J$231)</f>
        <v>10.29</v>
      </c>
      <c r="E11" s="12">
        <f>SUMIF(Base_Datos!$B$2:$B$231,A11,Base_Datos!$K$2:$K$231)</f>
        <v>2115</v>
      </c>
      <c r="F11" s="12">
        <f>SUMIF(Base_Datos!$B$2:$B$231,A11,Base_Datos!$L$2:$L$231)</f>
        <v>264</v>
      </c>
      <c r="G11" s="12">
        <f>SUMIF(Base_Datos!$B$2:$B$231,A11,Base_Datos!$M$2:$M$231)</f>
        <v>12</v>
      </c>
      <c r="H11" s="12">
        <f>SUMIF(Base_Datos!$B$2:$B$231,A11,Base_Datos!$N$2:$N$231)</f>
        <v>120</v>
      </c>
      <c r="I11" s="12">
        <f>SUMIF(Base_Datos!$B$2:$B$231,A11,Base_Datos!$O$2:$O$231)</f>
        <v>2511</v>
      </c>
      <c r="J11" s="13">
        <f t="shared" ref="J11:J21" si="1">C11/48</f>
        <v>1.7625</v>
      </c>
    </row>
    <row r="12" spans="1:15">
      <c r="A12" s="14">
        <v>46217</v>
      </c>
      <c r="B12">
        <f>COUNTIF(Base_Datos!$B$2:$B$231,A12)</f>
        <v>16</v>
      </c>
      <c r="C12" s="12">
        <f>SUMIF(Base_Datos!$B$2:$B$231,A12,Base_Datos!$I$2:$I$231)</f>
        <v>53.96</v>
      </c>
      <c r="D12" s="12">
        <f>SUMIF(Base_Datos!$B$2:$B$231,A12,Base_Datos!$J$2:$J$231)</f>
        <v>6.68</v>
      </c>
      <c r="E12" s="12">
        <f>SUMIF(Base_Datos!$B$2:$B$231,A12,Base_Datos!$K$2:$K$231)</f>
        <v>1349</v>
      </c>
      <c r="F12" s="12">
        <f>SUMIF(Base_Datos!$B$2:$B$231,A12,Base_Datos!$L$2:$L$231)</f>
        <v>176</v>
      </c>
      <c r="G12" s="12">
        <f>SUMIF(Base_Datos!$B$2:$B$231,A12,Base_Datos!$M$2:$M$231)</f>
        <v>8</v>
      </c>
      <c r="H12" s="12">
        <f>SUMIF(Base_Datos!$B$2:$B$231,A12,Base_Datos!$N$2:$N$231)</f>
        <v>80</v>
      </c>
      <c r="I12" s="12">
        <f>SUMIF(Base_Datos!$B$2:$B$231,A12,Base_Datos!$O$2:$O$231)</f>
        <v>1613</v>
      </c>
      <c r="J12" s="13">
        <f t="shared" si="1"/>
        <v>1.12416666666667</v>
      </c>
    </row>
    <row r="13" spans="1:15">
      <c r="A13" s="14">
        <v>46218</v>
      </c>
      <c r="B13">
        <f>COUNTIF(Base_Datos!$B$2:$B$231,A13)</f>
        <v>20</v>
      </c>
      <c r="C13" s="12">
        <f>SUMIF(Base_Datos!$B$2:$B$231,A13,Base_Datos!$I$2:$I$231)</f>
        <v>75.67</v>
      </c>
      <c r="D13" s="12">
        <f>SUMIF(Base_Datos!$B$2:$B$231,A13,Base_Datos!$J$2:$J$231)</f>
        <v>11.65</v>
      </c>
      <c r="E13" s="12">
        <f>SUMIF(Base_Datos!$B$2:$B$231,A13,Base_Datos!$K$2:$K$231)</f>
        <v>1891.75</v>
      </c>
      <c r="F13" s="12">
        <f>SUMIF(Base_Datos!$B$2:$B$231,A13,Base_Datos!$L$2:$L$231)</f>
        <v>220</v>
      </c>
      <c r="G13" s="12">
        <f>SUMIF(Base_Datos!$B$2:$B$231,A13,Base_Datos!$M$2:$M$231)</f>
        <v>10</v>
      </c>
      <c r="H13" s="12">
        <f>SUMIF(Base_Datos!$B$2:$B$231,A13,Base_Datos!$N$2:$N$231)</f>
        <v>100</v>
      </c>
      <c r="I13" s="12">
        <f>SUMIF(Base_Datos!$B$2:$B$231,A13,Base_Datos!$O$2:$O$231)</f>
        <v>2221.75</v>
      </c>
      <c r="J13" s="13">
        <f t="shared" si="1"/>
        <v>1.57645833333333</v>
      </c>
    </row>
    <row r="14" spans="1:15">
      <c r="A14" s="14">
        <v>46219</v>
      </c>
      <c r="B14">
        <f>COUNTIF(Base_Datos!$B$2:$B$231,A14)</f>
        <v>27</v>
      </c>
      <c r="C14" s="12">
        <f>SUMIF(Base_Datos!$B$2:$B$231,A14,Base_Datos!$I$2:$I$231)</f>
        <v>87.67</v>
      </c>
      <c r="D14" s="12">
        <f>SUMIF(Base_Datos!$B$2:$B$231,A14,Base_Datos!$J$2:$J$231)</f>
        <v>11.47</v>
      </c>
      <c r="E14" s="12">
        <f>SUMIF(Base_Datos!$B$2:$B$231,A14,Base_Datos!$K$2:$K$231)</f>
        <v>2191.75</v>
      </c>
      <c r="F14" s="12">
        <f>SUMIF(Base_Datos!$B$2:$B$231,A14,Base_Datos!$L$2:$L$231)</f>
        <v>297</v>
      </c>
      <c r="G14" s="12">
        <f>SUMIF(Base_Datos!$B$2:$B$231,A14,Base_Datos!$M$2:$M$231)</f>
        <v>13.5</v>
      </c>
      <c r="H14" s="12">
        <f>SUMIF(Base_Datos!$B$2:$B$231,A14,Base_Datos!$N$2:$N$231)</f>
        <v>135</v>
      </c>
      <c r="I14" s="12">
        <f>SUMIF(Base_Datos!$B$2:$B$231,A14,Base_Datos!$O$2:$O$231)</f>
        <v>2637.25</v>
      </c>
      <c r="J14" s="13">
        <f t="shared" si="1"/>
        <v>1.82645833333333</v>
      </c>
    </row>
    <row r="15" spans="1:15">
      <c r="A15" s="14">
        <v>46220</v>
      </c>
      <c r="B15">
        <f>COUNTIF(Base_Datos!$B$2:$B$231,A15)</f>
        <v>22</v>
      </c>
      <c r="C15" s="12">
        <f>SUMIF(Base_Datos!$B$2:$B$231,A15,Base_Datos!$I$2:$I$231)</f>
        <v>66.94</v>
      </c>
      <c r="D15" s="12">
        <f>SUMIF(Base_Datos!$B$2:$B$231,A15,Base_Datos!$J$2:$J$231)</f>
        <v>9.54</v>
      </c>
      <c r="E15" s="12">
        <f>SUMIF(Base_Datos!$B$2:$B$231,A15,Base_Datos!$K$2:$K$231)</f>
        <v>1673.5</v>
      </c>
      <c r="F15" s="12">
        <f>SUMIF(Base_Datos!$B$2:$B$231,A15,Base_Datos!$L$2:$L$231)</f>
        <v>242</v>
      </c>
      <c r="G15" s="12">
        <f>SUMIF(Base_Datos!$B$2:$B$231,A15,Base_Datos!$M$2:$M$231)</f>
        <v>11</v>
      </c>
      <c r="H15" s="12">
        <f>SUMIF(Base_Datos!$B$2:$B$231,A15,Base_Datos!$N$2:$N$231)</f>
        <v>110</v>
      </c>
      <c r="I15" s="12">
        <f>SUMIF(Base_Datos!$B$2:$B$231,A15,Base_Datos!$O$2:$O$231)</f>
        <v>2036.5</v>
      </c>
      <c r="J15" s="13">
        <f t="shared" si="1"/>
        <v>1.39458333333333</v>
      </c>
    </row>
    <row r="16" spans="1:15">
      <c r="A16" s="14">
        <v>46223</v>
      </c>
      <c r="B16">
        <f>COUNTIF(Base_Datos!$B$2:$B$231,A16)</f>
        <v>21</v>
      </c>
      <c r="C16" s="12">
        <f>SUMIF(Base_Datos!$B$2:$B$231,A16,Base_Datos!$I$2:$I$231)</f>
        <v>60.74</v>
      </c>
      <c r="D16" s="12">
        <f>SUMIF(Base_Datos!$B$2:$B$231,A16,Base_Datos!$J$2:$J$231)</f>
        <v>7.03</v>
      </c>
      <c r="E16" s="12">
        <f>SUMIF(Base_Datos!$B$2:$B$231,A16,Base_Datos!$K$2:$K$231)</f>
        <v>1518.5</v>
      </c>
      <c r="F16" s="12">
        <f>SUMIF(Base_Datos!$B$2:$B$231,A16,Base_Datos!$L$2:$L$231)</f>
        <v>231</v>
      </c>
      <c r="G16" s="12">
        <f>SUMIF(Base_Datos!$B$2:$B$231,A16,Base_Datos!$M$2:$M$231)</f>
        <v>10.5</v>
      </c>
      <c r="H16" s="12">
        <f>SUMIF(Base_Datos!$B$2:$B$231,A16,Base_Datos!$N$2:$N$231)</f>
        <v>105</v>
      </c>
      <c r="I16" s="12">
        <f>SUMIF(Base_Datos!$B$2:$B$231,A16,Base_Datos!$O$2:$O$231)</f>
        <v>1865</v>
      </c>
      <c r="J16" s="13">
        <f t="shared" si="1"/>
        <v>1.26541666666667</v>
      </c>
    </row>
    <row r="17" spans="1:10">
      <c r="A17" s="14">
        <v>46224</v>
      </c>
      <c r="B17">
        <f>COUNTIF(Base_Datos!$B$2:$B$231,A17)</f>
        <v>25</v>
      </c>
      <c r="C17" s="12">
        <f>SUMIF(Base_Datos!$B$2:$B$231,A17,Base_Datos!$I$2:$I$231)</f>
        <v>88.07</v>
      </c>
      <c r="D17" s="12">
        <f>SUMIF(Base_Datos!$B$2:$B$231,A17,Base_Datos!$J$2:$J$231)</f>
        <v>12.12</v>
      </c>
      <c r="E17" s="12">
        <f>SUMIF(Base_Datos!$B$2:$B$231,A17,Base_Datos!$K$2:$K$231)</f>
        <v>2201.75</v>
      </c>
      <c r="F17" s="12">
        <f>SUMIF(Base_Datos!$B$2:$B$231,A17,Base_Datos!$L$2:$L$231)</f>
        <v>275</v>
      </c>
      <c r="G17" s="12">
        <f>SUMIF(Base_Datos!$B$2:$B$231,A17,Base_Datos!$M$2:$M$231)</f>
        <v>12.5</v>
      </c>
      <c r="H17" s="12">
        <f>SUMIF(Base_Datos!$B$2:$B$231,A17,Base_Datos!$N$2:$N$231)</f>
        <v>125</v>
      </c>
      <c r="I17" s="12">
        <f>SUMIF(Base_Datos!$B$2:$B$231,A17,Base_Datos!$O$2:$O$231)</f>
        <v>2614.25</v>
      </c>
      <c r="J17" s="13">
        <f t="shared" si="1"/>
        <v>1.83479166666667</v>
      </c>
    </row>
    <row r="18" spans="1:10">
      <c r="A18" s="14">
        <v>46225</v>
      </c>
      <c r="B18">
        <f>COUNTIF(Base_Datos!$B$2:$B$231,A18)</f>
        <v>21</v>
      </c>
      <c r="C18" s="12">
        <f>SUMIF(Base_Datos!$B$2:$B$231,A18,Base_Datos!$I$2:$I$231)</f>
        <v>73.88</v>
      </c>
      <c r="D18" s="12">
        <f>SUMIF(Base_Datos!$B$2:$B$231,A18,Base_Datos!$J$2:$J$231)</f>
        <v>8.42</v>
      </c>
      <c r="E18" s="12">
        <f>SUMIF(Base_Datos!$B$2:$B$231,A18,Base_Datos!$K$2:$K$231)</f>
        <v>1847</v>
      </c>
      <c r="F18" s="12">
        <f>SUMIF(Base_Datos!$B$2:$B$231,A18,Base_Datos!$L$2:$L$231)</f>
        <v>231</v>
      </c>
      <c r="G18" s="12">
        <f>SUMIF(Base_Datos!$B$2:$B$231,A18,Base_Datos!$M$2:$M$231)</f>
        <v>10.5</v>
      </c>
      <c r="H18" s="12">
        <f>SUMIF(Base_Datos!$B$2:$B$231,A18,Base_Datos!$N$2:$N$231)</f>
        <v>105</v>
      </c>
      <c r="I18" s="12">
        <f>SUMIF(Base_Datos!$B$2:$B$231,A18,Base_Datos!$O$2:$O$231)</f>
        <v>2193.5</v>
      </c>
      <c r="J18" s="13">
        <f t="shared" si="1"/>
        <v>1.53916666666667</v>
      </c>
    </row>
    <row r="19" spans="1:10">
      <c r="A19" s="14">
        <v>46226</v>
      </c>
      <c r="B19">
        <f>COUNTIF(Base_Datos!$B$2:$B$231,A19)</f>
        <v>22</v>
      </c>
      <c r="C19" s="12">
        <f>SUMIF(Base_Datos!$B$2:$B$231,A19,Base_Datos!$I$2:$I$231)</f>
        <v>76.73</v>
      </c>
      <c r="D19" s="12">
        <f>SUMIF(Base_Datos!$B$2:$B$231,A19,Base_Datos!$J$2:$J$231)</f>
        <v>8.99</v>
      </c>
      <c r="E19" s="12">
        <f>SUMIF(Base_Datos!$B$2:$B$231,A19,Base_Datos!$K$2:$K$231)</f>
        <v>1918.25</v>
      </c>
      <c r="F19" s="12">
        <f>SUMIF(Base_Datos!$B$2:$B$231,A19,Base_Datos!$L$2:$L$231)</f>
        <v>242</v>
      </c>
      <c r="G19" s="12">
        <f>SUMIF(Base_Datos!$B$2:$B$231,A19,Base_Datos!$M$2:$M$231)</f>
        <v>11</v>
      </c>
      <c r="H19" s="12">
        <f>SUMIF(Base_Datos!$B$2:$B$231,A19,Base_Datos!$N$2:$N$231)</f>
        <v>110</v>
      </c>
      <c r="I19" s="12">
        <f>SUMIF(Base_Datos!$B$2:$B$231,A19,Base_Datos!$O$2:$O$231)</f>
        <v>2281.25</v>
      </c>
      <c r="J19" s="13">
        <f t="shared" si="1"/>
        <v>1.59854166666667</v>
      </c>
    </row>
    <row r="20" spans="1:10">
      <c r="A20" s="14">
        <v>46227</v>
      </c>
      <c r="B20">
        <f>COUNTIF(Base_Datos!$B$2:$B$231,A20)</f>
        <v>16</v>
      </c>
      <c r="C20" s="12">
        <f>SUMIF(Base_Datos!$B$2:$B$231,A20,Base_Datos!$I$2:$I$231)</f>
        <v>61.69</v>
      </c>
      <c r="D20" s="12">
        <f>SUMIF(Base_Datos!$B$2:$B$231,A20,Base_Datos!$J$2:$J$231)</f>
        <v>5.79</v>
      </c>
      <c r="E20" s="12">
        <f>SUMIF(Base_Datos!$B$2:$B$231,A20,Base_Datos!$K$2:$K$231)</f>
        <v>1542.25</v>
      </c>
      <c r="F20" s="12">
        <f>SUMIF(Base_Datos!$B$2:$B$231,A20,Base_Datos!$L$2:$L$231)</f>
        <v>176</v>
      </c>
      <c r="G20" s="12">
        <f>SUMIF(Base_Datos!$B$2:$B$231,A20,Base_Datos!$M$2:$M$231)</f>
        <v>8</v>
      </c>
      <c r="H20" s="12">
        <f>SUMIF(Base_Datos!$B$2:$B$231,A20,Base_Datos!$N$2:$N$231)</f>
        <v>80</v>
      </c>
      <c r="I20" s="12">
        <f>SUMIF(Base_Datos!$B$2:$B$231,A20,Base_Datos!$O$2:$O$231)</f>
        <v>1806.25</v>
      </c>
      <c r="J20" s="13">
        <f t="shared" si="1"/>
        <v>1.28520833333333</v>
      </c>
    </row>
    <row r="21" spans="1:10">
      <c r="A21" s="14">
        <v>46230</v>
      </c>
      <c r="B21">
        <f>COUNTIF(Base_Datos!$B$2:$B$231,A21)</f>
        <v>16</v>
      </c>
      <c r="C21" s="12">
        <f>SUMIF(Base_Datos!$B$2:$B$231,A21,Base_Datos!$I$2:$I$231)</f>
        <v>53.94</v>
      </c>
      <c r="D21" s="12">
        <f>SUMIF(Base_Datos!$B$2:$B$231,A21,Base_Datos!$J$2:$J$231)</f>
        <v>6.57</v>
      </c>
      <c r="E21" s="12">
        <f>SUMIF(Base_Datos!$B$2:$B$231,A21,Base_Datos!$K$2:$K$231)</f>
        <v>1348.5</v>
      </c>
      <c r="F21" s="12">
        <f>SUMIF(Base_Datos!$B$2:$B$231,A21,Base_Datos!$L$2:$L$231)</f>
        <v>176</v>
      </c>
      <c r="G21" s="12">
        <f>SUMIF(Base_Datos!$B$2:$B$231,A21,Base_Datos!$M$2:$M$231)</f>
        <v>8</v>
      </c>
      <c r="H21" s="12">
        <f>SUMIF(Base_Datos!$B$2:$B$231,A21,Base_Datos!$N$2:$N$231)</f>
        <v>80</v>
      </c>
      <c r="I21" s="12">
        <f>SUMIF(Base_Datos!$B$2:$B$231,A21,Base_Datos!$O$2:$O$231)</f>
        <v>1612.5</v>
      </c>
      <c r="J21" s="13">
        <f t="shared" si="1"/>
        <v>1.12375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workbookViewId="0">
      <selection activeCell="K77" sqref="K77"/>
    </sheetView>
  </sheetViews>
  <sheetFormatPr defaultColWidth="9" defaultRowHeight="13.8"/>
  <cols>
    <col min="1" max="12" width="12" customWidth="1"/>
    <col min="13" max="13" width="23.3" customWidth="1"/>
    <col min="14" max="16" width="12" customWidth="1"/>
  </cols>
  <sheetData>
    <row r="1" ht="22.8" spans="1:16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ht="22.8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1:16">
      <c r="A3" s="3" t="s">
        <v>279</v>
      </c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</row>
    <row r="5" spans="1:16">
      <c r="A5" s="5" t="s">
        <v>280</v>
      </c>
      <c r="B5" s="5"/>
      <c r="C5" s="5"/>
      <c r="D5" s="5"/>
      <c r="E5" s="5" t="s">
        <v>8</v>
      </c>
      <c r="F5" s="5"/>
      <c r="G5" s="5"/>
      <c r="H5" s="5"/>
      <c r="I5" s="5" t="s">
        <v>281</v>
      </c>
      <c r="J5" s="5"/>
      <c r="K5" s="5"/>
      <c r="L5" s="5"/>
      <c r="M5" s="5" t="s">
        <v>14</v>
      </c>
      <c r="N5" s="5"/>
      <c r="O5" s="5"/>
      <c r="P5" s="5"/>
    </row>
    <row r="6" ht="22.8" spans="1:16">
      <c r="A6" s="6">
        <f>COUNTA(Base_Datos!A2:A231)</f>
        <v>230</v>
      </c>
      <c r="B6" s="7"/>
      <c r="C6" s="7"/>
      <c r="D6" s="7"/>
      <c r="E6" s="8">
        <f>SUM(Base_Datos!I2:I231)</f>
        <v>783.89</v>
      </c>
      <c r="F6" s="7"/>
      <c r="G6" s="7"/>
      <c r="H6" s="7"/>
      <c r="I6" s="9">
        <f>SUM(Base_Datos!I2:I231)/(48*11)</f>
        <v>1.48464015151515</v>
      </c>
      <c r="J6" s="7"/>
      <c r="K6" s="7"/>
      <c r="L6" s="7"/>
      <c r="M6" s="10">
        <f>SUM(Base_Datos!O2:O231)</f>
        <v>23392.25</v>
      </c>
      <c r="N6" s="7"/>
      <c r="O6" s="7"/>
      <c r="P6" s="7"/>
    </row>
    <row r="7" ht="22.8" spans="1:16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8" spans="1:1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10" spans="1:16">
      <c r="A10" s="5" t="s">
        <v>282</v>
      </c>
      <c r="B10" s="5"/>
      <c r="C10" s="5"/>
      <c r="D10" s="5"/>
      <c r="E10" s="5" t="s">
        <v>283</v>
      </c>
      <c r="F10" s="5"/>
      <c r="G10" s="5"/>
      <c r="H10" s="5"/>
      <c r="I10" s="5" t="s">
        <v>284</v>
      </c>
      <c r="J10" s="5"/>
      <c r="K10" s="5"/>
      <c r="L10" s="5"/>
      <c r="M10" s="5" t="s">
        <v>285</v>
      </c>
      <c r="N10" s="5"/>
      <c r="O10" s="5"/>
      <c r="P10" s="5"/>
    </row>
    <row r="11" ht="22.8" spans="1:16">
      <c r="A11" s="8">
        <f>AVERAGE(Base_Datos!I2:I231)</f>
        <v>3.40821739130435</v>
      </c>
      <c r="B11" s="7"/>
      <c r="C11" s="7"/>
      <c r="D11" s="7"/>
      <c r="E11" s="8">
        <f>SUM(Base_Datos!J2:J231)</f>
        <v>98.55</v>
      </c>
      <c r="F11" s="7"/>
      <c r="G11" s="7"/>
      <c r="H11" s="7"/>
      <c r="I11" s="6">
        <f>COUNTIF(Base_Datos!P2:P231,"Terminada")</f>
        <v>88</v>
      </c>
      <c r="J11" s="7"/>
      <c r="K11" s="7"/>
      <c r="L11" s="7"/>
      <c r="M11" s="9">
        <f>COUNTIF(Base_Datos!Q2:Q231,"A tiempo")/COUNTA(Base_Datos!Q2:Q231)</f>
        <v>0.843478260869565</v>
      </c>
      <c r="N11" s="7"/>
      <c r="O11" s="7"/>
      <c r="P11" s="7"/>
    </row>
    <row r="12" ht="22.8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ht="22.8" spans="1:1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</sheetData>
  <mergeCells count="2">
    <mergeCell ref="A3:F3"/>
    <mergeCell ref="A1:N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Base_Datos</vt:lpstr>
      <vt:lpstr>Resumenes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sif</cp:lastModifiedBy>
  <dcterms:created xsi:type="dcterms:W3CDTF">2026-07-20T10:34:52Z</dcterms:created>
  <dcterms:modified xsi:type="dcterms:W3CDTF">2026-07-20T10:37:57Z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56B73B98ED3D48ECB7D38CBE6851B5C3_12</vt:lpwstr>
  </property>
  <property fmtid="{D5CDD505-2E9C-101B-9397-08002B2CF9AE}" pid="3" name="KSOProductBuildVer">
    <vt:lpwstr>3082-12.1.0.26369</vt:lpwstr>
  </property>
  <property fmtid="{D5CDD505-2E9C-101B-9397-08002B2CF9AE}" pid="4" name="CalculationRule">
    <vt:i4>0</vt:i4>
  </property>
</Properties>
</file>